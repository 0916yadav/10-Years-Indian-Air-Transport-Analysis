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9C20EF3-5160-4EB5-974B-E144E86FAA22}" xr6:coauthVersionLast="47" xr6:coauthVersionMax="47" xr10:uidLastSave="{00000000-0000-0000-0000-000000000000}"/>
  <bookViews>
    <workbookView xWindow="-108" yWindow="-108" windowWidth="23256" windowHeight="12456" xr2:uid="{2611560F-8B92-4A89-AC2F-F0355151E18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K27" i="1"/>
  <c r="H3" i="1"/>
  <c r="M53" i="1" s="1"/>
  <c r="G26" i="1"/>
  <c r="F26" i="1"/>
  <c r="H26" i="1" s="1"/>
  <c r="M26" i="1" s="1"/>
  <c r="I26" i="1"/>
  <c r="J26" i="1"/>
  <c r="K26" i="1"/>
  <c r="N26" i="1" s="1"/>
  <c r="L26" i="1"/>
  <c r="O26" i="1" s="1"/>
  <c r="L31" i="1"/>
  <c r="O31" i="1" s="1"/>
  <c r="I31" i="1"/>
  <c r="K31" i="1" s="1"/>
  <c r="N31" i="1" s="1"/>
  <c r="J31" i="1"/>
  <c r="G31" i="1"/>
  <c r="H31" i="1" s="1"/>
  <c r="M31" i="1" s="1"/>
  <c r="F31" i="1"/>
  <c r="G36" i="1"/>
  <c r="F36" i="1"/>
  <c r="H36" i="1" s="1"/>
  <c r="I36" i="1"/>
  <c r="J36" i="1"/>
  <c r="K36" i="1"/>
  <c r="N36" i="1" s="1"/>
  <c r="L36" i="1"/>
  <c r="O36" i="1" s="1"/>
  <c r="L41" i="1"/>
  <c r="O41" i="1" s="1"/>
  <c r="J41" i="1"/>
  <c r="I41" i="1"/>
  <c r="K41" i="1" s="1"/>
  <c r="N41" i="1" s="1"/>
  <c r="G41" i="1"/>
  <c r="F41" i="1"/>
  <c r="F46" i="1"/>
  <c r="G46" i="1"/>
  <c r="H46" i="1"/>
  <c r="I46" i="1"/>
  <c r="J46" i="1"/>
  <c r="K46" i="1"/>
  <c r="N46" i="1" s="1"/>
  <c r="L46" i="1"/>
  <c r="O46" i="1" s="1"/>
  <c r="L51" i="1"/>
  <c r="O51" i="1" s="1"/>
  <c r="J51" i="1"/>
  <c r="K51" i="1" s="1"/>
  <c r="N51" i="1" s="1"/>
  <c r="I51" i="1"/>
  <c r="G51" i="1"/>
  <c r="F51" i="1"/>
  <c r="G56" i="1"/>
  <c r="F56" i="1"/>
  <c r="H56" i="1" s="1"/>
  <c r="I56" i="1"/>
  <c r="J56" i="1"/>
  <c r="K56" i="1"/>
  <c r="L56" i="1"/>
  <c r="L55" i="1"/>
  <c r="J55" i="1"/>
  <c r="I55" i="1"/>
  <c r="G55" i="1"/>
  <c r="F55" i="1"/>
  <c r="H55" i="1" s="1"/>
  <c r="L50" i="1"/>
  <c r="O50" i="1" s="1"/>
  <c r="J50" i="1"/>
  <c r="I50" i="1"/>
  <c r="G50" i="1"/>
  <c r="F50" i="1"/>
  <c r="H50" i="1" s="1"/>
  <c r="M50" i="1" s="1"/>
  <c r="J49" i="1"/>
  <c r="K49" i="1" s="1"/>
  <c r="N49" i="1" s="1"/>
  <c r="L45" i="1"/>
  <c r="O45" i="1" s="1"/>
  <c r="J45" i="1"/>
  <c r="I45" i="1"/>
  <c r="G45" i="1"/>
  <c r="F45" i="1"/>
  <c r="L34" i="1"/>
  <c r="O34" i="1" s="1"/>
  <c r="J34" i="1"/>
  <c r="I34" i="1"/>
  <c r="G34" i="1"/>
  <c r="F34" i="1"/>
  <c r="H34" i="1" s="1"/>
  <c r="M34" i="1" s="1"/>
  <c r="L35" i="1"/>
  <c r="O35" i="1" s="1"/>
  <c r="J35" i="1"/>
  <c r="I35" i="1"/>
  <c r="G35" i="1"/>
  <c r="F35" i="1"/>
  <c r="H35" i="1" s="1"/>
  <c r="M35" i="1" s="1"/>
  <c r="L40" i="1"/>
  <c r="O40" i="1" s="1"/>
  <c r="J40" i="1"/>
  <c r="I40" i="1"/>
  <c r="K40" i="1" s="1"/>
  <c r="G40" i="1"/>
  <c r="F40" i="1"/>
  <c r="H40" i="1" s="1"/>
  <c r="F39" i="1"/>
  <c r="G39" i="1"/>
  <c r="H39" i="1" s="1"/>
  <c r="M39" i="1" s="1"/>
  <c r="I39" i="1"/>
  <c r="K39" i="1" s="1"/>
  <c r="J39" i="1"/>
  <c r="L39" i="1"/>
  <c r="O39" i="1" s="1"/>
  <c r="L30" i="1"/>
  <c r="O30" i="1" s="1"/>
  <c r="J30" i="1"/>
  <c r="I30" i="1"/>
  <c r="K30" i="1" s="1"/>
  <c r="G30" i="1"/>
  <c r="F30" i="1"/>
  <c r="H30" i="1" s="1"/>
  <c r="M30" i="1" s="1"/>
  <c r="L25" i="1"/>
  <c r="O25" i="1" s="1"/>
  <c r="J25" i="1"/>
  <c r="I25" i="1"/>
  <c r="K25" i="1" s="1"/>
  <c r="N25" i="1" s="1"/>
  <c r="G25" i="1"/>
  <c r="F25" i="1"/>
  <c r="H25" i="1" s="1"/>
  <c r="J54" i="1"/>
  <c r="I54" i="1"/>
  <c r="K54" i="1" s="1"/>
  <c r="G54" i="1"/>
  <c r="H54" i="1" s="1"/>
  <c r="F54" i="1"/>
  <c r="I49" i="1"/>
  <c r="G49" i="1"/>
  <c r="F49" i="1"/>
  <c r="L54" i="1"/>
  <c r="L49" i="1"/>
  <c r="O49" i="1" s="1"/>
  <c r="L44" i="1"/>
  <c r="O44" i="1" s="1"/>
  <c r="J44" i="1"/>
  <c r="I44" i="1"/>
  <c r="G44" i="1"/>
  <c r="F44" i="1"/>
  <c r="H44" i="1" s="1"/>
  <c r="L29" i="1"/>
  <c r="O29" i="1" s="1"/>
  <c r="J29" i="1"/>
  <c r="I29" i="1"/>
  <c r="G29" i="1"/>
  <c r="F29" i="1"/>
  <c r="H29" i="1" s="1"/>
  <c r="L24" i="1"/>
  <c r="O24" i="1" s="1"/>
  <c r="J24" i="1"/>
  <c r="I24" i="1"/>
  <c r="K24" i="1" s="1"/>
  <c r="G24" i="1"/>
  <c r="F24" i="1"/>
  <c r="H24" i="1" s="1"/>
  <c r="J53" i="1"/>
  <c r="I53" i="1"/>
  <c r="K53" i="1" s="1"/>
  <c r="G53" i="1"/>
  <c r="F53" i="1"/>
  <c r="J48" i="1"/>
  <c r="I48" i="1"/>
  <c r="K48" i="1" s="1"/>
  <c r="N48" i="1" s="1"/>
  <c r="G48" i="1"/>
  <c r="F48" i="1"/>
  <c r="L53" i="1"/>
  <c r="L48" i="1"/>
  <c r="O48" i="1" s="1"/>
  <c r="L43" i="1"/>
  <c r="O43" i="1" s="1"/>
  <c r="I43" i="1"/>
  <c r="G43" i="1"/>
  <c r="F43" i="1"/>
  <c r="J43" i="1"/>
  <c r="L38" i="1"/>
  <c r="O38" i="1" s="1"/>
  <c r="J38" i="1"/>
  <c r="I38" i="1"/>
  <c r="K38" i="1" s="1"/>
  <c r="G38" i="1"/>
  <c r="F38" i="1"/>
  <c r="L33" i="1"/>
  <c r="O33" i="1" s="1"/>
  <c r="J33" i="1"/>
  <c r="I33" i="1"/>
  <c r="K33" i="1" s="1"/>
  <c r="N33" i="1" s="1"/>
  <c r="G33" i="1"/>
  <c r="F33" i="1"/>
  <c r="H33" i="1" s="1"/>
  <c r="L28" i="1"/>
  <c r="O28" i="1" s="1"/>
  <c r="J28" i="1"/>
  <c r="I28" i="1"/>
  <c r="K28" i="1" s="1"/>
  <c r="G28" i="1"/>
  <c r="F28" i="1"/>
  <c r="H28" i="1" s="1"/>
  <c r="M28" i="1" s="1"/>
  <c r="L23" i="1"/>
  <c r="O23" i="1" s="1"/>
  <c r="J23" i="1"/>
  <c r="I23" i="1"/>
  <c r="K23" i="1" s="1"/>
  <c r="N23" i="1" s="1"/>
  <c r="H23" i="1"/>
  <c r="G23" i="1"/>
  <c r="F23" i="1"/>
  <c r="L27" i="1"/>
  <c r="O27" i="1" s="1"/>
  <c r="J27" i="1"/>
  <c r="I27" i="1"/>
  <c r="G27" i="1"/>
  <c r="F27" i="1"/>
  <c r="H27" i="1" s="1"/>
  <c r="M27" i="1" s="1"/>
  <c r="L32" i="1"/>
  <c r="O32" i="1" s="1"/>
  <c r="J32" i="1"/>
  <c r="I32" i="1"/>
  <c r="K32" i="1" s="1"/>
  <c r="N32" i="1" s="1"/>
  <c r="G32" i="1"/>
  <c r="F32" i="1"/>
  <c r="H32" i="1" s="1"/>
  <c r="M32" i="1" s="1"/>
  <c r="L37" i="1"/>
  <c r="O37" i="1" s="1"/>
  <c r="J37" i="1"/>
  <c r="K37" i="1" s="1"/>
  <c r="N37" i="1" s="1"/>
  <c r="I37" i="1"/>
  <c r="G37" i="1"/>
  <c r="F37" i="1"/>
  <c r="H37" i="1" s="1"/>
  <c r="M37" i="1" s="1"/>
  <c r="L42" i="1"/>
  <c r="O42" i="1" s="1"/>
  <c r="J42" i="1"/>
  <c r="K42" i="1" s="1"/>
  <c r="N42" i="1" s="1"/>
  <c r="I42" i="1"/>
  <c r="G42" i="1"/>
  <c r="F42" i="1"/>
  <c r="H42" i="1" s="1"/>
  <c r="M42" i="1" s="1"/>
  <c r="L47" i="1"/>
  <c r="O47" i="1" s="1"/>
  <c r="J47" i="1"/>
  <c r="I47" i="1"/>
  <c r="K47" i="1" s="1"/>
  <c r="N47" i="1" s="1"/>
  <c r="G47" i="1"/>
  <c r="F47" i="1"/>
  <c r="H47" i="1" s="1"/>
  <c r="M47" i="1" s="1"/>
  <c r="L52" i="1"/>
  <c r="J52" i="1"/>
  <c r="I52" i="1"/>
  <c r="K52" i="1" s="1"/>
  <c r="G52" i="1"/>
  <c r="F52" i="1"/>
  <c r="H52" i="1" s="1"/>
  <c r="L22" i="1"/>
  <c r="O22" i="1" s="1"/>
  <c r="J22" i="1"/>
  <c r="I22" i="1"/>
  <c r="G22" i="1"/>
  <c r="F22" i="1"/>
  <c r="H22" i="1" s="1"/>
  <c r="M22" i="1" s="1"/>
  <c r="L21" i="1"/>
  <c r="O21" i="1" s="1"/>
  <c r="J21" i="1"/>
  <c r="I21" i="1"/>
  <c r="K21" i="1" s="1"/>
  <c r="N21" i="1" s="1"/>
  <c r="G21" i="1"/>
  <c r="F21" i="1"/>
  <c r="L20" i="1"/>
  <c r="O20" i="1" s="1"/>
  <c r="J20" i="1"/>
  <c r="I20" i="1"/>
  <c r="K20" i="1" s="1"/>
  <c r="N20" i="1" s="1"/>
  <c r="G20" i="1"/>
  <c r="F20" i="1"/>
  <c r="L19" i="1"/>
  <c r="O19" i="1" s="1"/>
  <c r="J19" i="1"/>
  <c r="I19" i="1"/>
  <c r="K19" i="1" s="1"/>
  <c r="N19" i="1" s="1"/>
  <c r="G19" i="1"/>
  <c r="F19" i="1"/>
  <c r="H19" i="1" s="1"/>
  <c r="M19" i="1" s="1"/>
  <c r="L18" i="1"/>
  <c r="O18" i="1" s="1"/>
  <c r="J18" i="1"/>
  <c r="I18" i="1"/>
  <c r="G18" i="1"/>
  <c r="F18" i="1"/>
  <c r="L17" i="1"/>
  <c r="O17" i="1" s="1"/>
  <c r="J17" i="1"/>
  <c r="I17" i="1"/>
  <c r="K17" i="1" s="1"/>
  <c r="F17" i="1"/>
  <c r="G17" i="1"/>
  <c r="L16" i="1"/>
  <c r="O16" i="1" s="1"/>
  <c r="J16" i="1"/>
  <c r="I16" i="1"/>
  <c r="G16" i="1"/>
  <c r="F16" i="1"/>
  <c r="L15" i="1"/>
  <c r="O15" i="1" s="1"/>
  <c r="J15" i="1"/>
  <c r="I15" i="1"/>
  <c r="G15" i="1"/>
  <c r="F15" i="1"/>
  <c r="H15" i="1" s="1"/>
  <c r="L14" i="1"/>
  <c r="O14" i="1" s="1"/>
  <c r="J14" i="1"/>
  <c r="I14" i="1"/>
  <c r="K14" i="1" s="1"/>
  <c r="N14" i="1" s="1"/>
  <c r="G14" i="1"/>
  <c r="F14" i="1"/>
  <c r="H14" i="1" s="1"/>
  <c r="M14" i="1" s="1"/>
  <c r="L13" i="1"/>
  <c r="O13" i="1" s="1"/>
  <c r="J13" i="1"/>
  <c r="I13" i="1"/>
  <c r="K13" i="1" s="1"/>
  <c r="G13" i="1"/>
  <c r="F13" i="1"/>
  <c r="L12" i="1"/>
  <c r="O12" i="1" s="1"/>
  <c r="J12" i="1"/>
  <c r="I12" i="1"/>
  <c r="F12" i="1"/>
  <c r="L11" i="1"/>
  <c r="O11" i="1" s="1"/>
  <c r="J11" i="1"/>
  <c r="I11" i="1"/>
  <c r="G11" i="1"/>
  <c r="F11" i="1"/>
  <c r="L10" i="1"/>
  <c r="O10" i="1" s="1"/>
  <c r="J10" i="1"/>
  <c r="I10" i="1"/>
  <c r="K10" i="1" s="1"/>
  <c r="G10" i="1"/>
  <c r="F10" i="1"/>
  <c r="H10" i="1" s="1"/>
  <c r="M10" i="1" s="1"/>
  <c r="L9" i="1"/>
  <c r="O9" i="1" s="1"/>
  <c r="J9" i="1"/>
  <c r="I9" i="1"/>
  <c r="G9" i="1"/>
  <c r="F9" i="1"/>
  <c r="L8" i="1"/>
  <c r="O8" i="1" s="1"/>
  <c r="J8" i="1"/>
  <c r="I8" i="1"/>
  <c r="K8" i="1" s="1"/>
  <c r="N8" i="1" s="1"/>
  <c r="G8" i="1"/>
  <c r="F8" i="1"/>
  <c r="L7" i="1"/>
  <c r="O7" i="1" s="1"/>
  <c r="J7" i="1"/>
  <c r="I7" i="1"/>
  <c r="G7" i="1"/>
  <c r="F7" i="1"/>
  <c r="L6" i="1"/>
  <c r="O56" i="1" s="1"/>
  <c r="K6" i="1"/>
  <c r="J6" i="1"/>
  <c r="I6" i="1"/>
  <c r="H6" i="1"/>
  <c r="G6" i="1"/>
  <c r="F6" i="1"/>
  <c r="L5" i="1"/>
  <c r="O55" i="1" s="1"/>
  <c r="K5" i="1"/>
  <c r="N5" i="1" s="1"/>
  <c r="J5" i="1"/>
  <c r="I5" i="1"/>
  <c r="H5" i="1"/>
  <c r="M5" i="1" s="1"/>
  <c r="G5" i="1"/>
  <c r="F5" i="1"/>
  <c r="L4" i="1"/>
  <c r="O4" i="1" s="1"/>
  <c r="K4" i="1"/>
  <c r="J4" i="1"/>
  <c r="I4" i="1"/>
  <c r="H4" i="1"/>
  <c r="G4" i="1"/>
  <c r="F4" i="1"/>
  <c r="L3" i="1"/>
  <c r="O3" i="1" s="1"/>
  <c r="K3" i="1"/>
  <c r="N3" i="1" s="1"/>
  <c r="J3" i="1"/>
  <c r="I3" i="1"/>
  <c r="G3" i="1"/>
  <c r="F3" i="1"/>
  <c r="L2" i="1"/>
  <c r="O2" i="1" s="1"/>
  <c r="K2" i="1"/>
  <c r="N52" i="1" s="1"/>
  <c r="J2" i="1"/>
  <c r="I2" i="1"/>
  <c r="H2" i="1"/>
  <c r="M52" i="1" s="1"/>
  <c r="G2" i="1"/>
  <c r="F2" i="1"/>
  <c r="N6" i="1" l="1"/>
  <c r="M29" i="1"/>
  <c r="N28" i="1"/>
  <c r="M23" i="1"/>
  <c r="N13" i="1"/>
  <c r="N27" i="1"/>
  <c r="M24" i="1"/>
  <c r="M25" i="1"/>
  <c r="N56" i="1"/>
  <c r="O54" i="1"/>
  <c r="K11" i="1"/>
  <c r="K16" i="1"/>
  <c r="N16" i="1" s="1"/>
  <c r="H18" i="1"/>
  <c r="M18" i="1" s="1"/>
  <c r="H43" i="1"/>
  <c r="M43" i="1" s="1"/>
  <c r="H49" i="1"/>
  <c r="M49" i="1" s="1"/>
  <c r="K45" i="1"/>
  <c r="N45" i="1" s="1"/>
  <c r="H41" i="1"/>
  <c r="M41" i="1" s="1"/>
  <c r="N55" i="1"/>
  <c r="O53" i="1"/>
  <c r="N54" i="1"/>
  <c r="K18" i="1"/>
  <c r="N18" i="1" s="1"/>
  <c r="H20" i="1"/>
  <c r="M20" i="1" s="1"/>
  <c r="H38" i="1"/>
  <c r="M38" i="1" s="1"/>
  <c r="K43" i="1"/>
  <c r="N43" i="1" s="1"/>
  <c r="H53" i="1"/>
  <c r="N53" i="1"/>
  <c r="M55" i="1"/>
  <c r="K15" i="1"/>
  <c r="N15" i="1" s="1"/>
  <c r="K44" i="1"/>
  <c r="N44" i="1" s="1"/>
  <c r="K34" i="1"/>
  <c r="N34" i="1" s="1"/>
  <c r="K55" i="1"/>
  <c r="O6" i="1"/>
  <c r="M54" i="1"/>
  <c r="O5" i="1"/>
  <c r="O52" i="1"/>
  <c r="H51" i="1"/>
  <c r="M51" i="1" s="1"/>
  <c r="K9" i="1"/>
  <c r="N9" i="1" s="1"/>
  <c r="H16" i="1"/>
  <c r="K22" i="1"/>
  <c r="N22" i="1" s="1"/>
  <c r="H48" i="1"/>
  <c r="M48" i="1" s="1"/>
  <c r="K29" i="1"/>
  <c r="H45" i="1"/>
  <c r="K50" i="1"/>
  <c r="H12" i="1"/>
  <c r="M12" i="1" s="1"/>
  <c r="H9" i="1"/>
  <c r="M9" i="1" s="1"/>
  <c r="H21" i="1"/>
  <c r="M21" i="1" s="1"/>
  <c r="H11" i="1"/>
  <c r="M11" i="1" s="1"/>
  <c r="K12" i="1"/>
  <c r="N12" i="1" s="1"/>
  <c r="H13" i="1"/>
  <c r="M13" i="1" s="1"/>
  <c r="H17" i="1"/>
  <c r="M17" i="1" s="1"/>
  <c r="K35" i="1"/>
  <c r="N35" i="1" s="1"/>
  <c r="H8" i="1"/>
  <c r="M8" i="1" s="1"/>
  <c r="H7" i="1"/>
  <c r="M7" i="1" s="1"/>
  <c r="K7" i="1"/>
  <c r="N2" i="1" s="1"/>
  <c r="M4" i="1" l="1"/>
  <c r="M45" i="1"/>
  <c r="M40" i="1"/>
  <c r="N29" i="1"/>
  <c r="M56" i="1"/>
  <c r="M15" i="1"/>
  <c r="M36" i="1"/>
  <c r="M44" i="1"/>
  <c r="M46" i="1"/>
  <c r="N50" i="1"/>
  <c r="N39" i="1"/>
  <c r="N40" i="1"/>
  <c r="N24" i="1"/>
  <c r="N4" i="1"/>
  <c r="N38" i="1"/>
  <c r="M2" i="1"/>
  <c r="N11" i="1"/>
  <c r="N30" i="1"/>
  <c r="N17" i="1"/>
  <c r="N10" i="1"/>
  <c r="N7" i="1"/>
  <c r="M16" i="1"/>
  <c r="M3" i="1"/>
  <c r="M33" i="1"/>
  <c r="M6" i="1"/>
</calcChain>
</file>

<file path=xl/sharedStrings.xml><?xml version="1.0" encoding="utf-8"?>
<sst xmlns="http://schemas.openxmlformats.org/spreadsheetml/2006/main" count="235" uniqueCount="33">
  <si>
    <t>Year</t>
  </si>
  <si>
    <t>Airport_Name</t>
  </si>
  <si>
    <t>IATA_Code</t>
  </si>
  <si>
    <t>State</t>
  </si>
  <si>
    <t>Region</t>
  </si>
  <si>
    <t>Domestic_Passengers</t>
  </si>
  <si>
    <t>International_Passengers</t>
  </si>
  <si>
    <t>Total_Passengers</t>
  </si>
  <si>
    <t>Domestic_Aircraft</t>
  </si>
  <si>
    <t>International_Aircraft</t>
  </si>
  <si>
    <t>Total_Aircraft_Movement</t>
  </si>
  <si>
    <t>Cargo_Tonnes</t>
  </si>
  <si>
    <t>Passenger_Growth_%</t>
  </si>
  <si>
    <t>Aircraft_Growth_%</t>
  </si>
  <si>
    <t>Cargo_Growth_%</t>
  </si>
  <si>
    <t>Bengaluru</t>
  </si>
  <si>
    <t>BLR</t>
  </si>
  <si>
    <t>Karnataka</t>
  </si>
  <si>
    <t>South</t>
  </si>
  <si>
    <t>Chennai</t>
  </si>
  <si>
    <t>MAA</t>
  </si>
  <si>
    <t>Tamil Nadu</t>
  </si>
  <si>
    <t>Delhi</t>
  </si>
  <si>
    <t>DEL</t>
  </si>
  <si>
    <t>Delhi(NCT)</t>
  </si>
  <si>
    <t>North</t>
  </si>
  <si>
    <t>Hyderabad</t>
  </si>
  <si>
    <t>HYD</t>
  </si>
  <si>
    <t>Telangana</t>
  </si>
  <si>
    <t>Mumbai</t>
  </si>
  <si>
    <t>BOM</t>
  </si>
  <si>
    <t>Maharashtra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</si>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</sst>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0" xfId="2" applyNumberFormat="1" applyFont="1" applyAlignment="1">
      <alignment horizontal="center"/>
    </xf>
    <xf numFmtId="1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PROJECT.xlsx" TargetMode="External"/><Relationship Id="rId1" Type="http://schemas.openxmlformats.org/officeDocument/2006/relationships/externalLinkPath" Target="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Original"/>
      <sheetName val="Copy"/>
    </sheetNames>
    <sheetDataSet>
      <sheetData sheetId="0"/>
      <sheetData sheetId="1"/>
      <sheetData sheetId="2">
        <row r="2">
          <cell r="G2">
            <v>3154562</v>
          </cell>
          <cell r="H2">
            <v>570288</v>
          </cell>
          <cell r="I2">
            <v>3724850</v>
          </cell>
          <cell r="J2">
            <v>20068</v>
          </cell>
          <cell r="K2">
            <v>3335</v>
          </cell>
          <cell r="L2">
            <v>23403</v>
          </cell>
          <cell r="M2">
            <v>38698</v>
          </cell>
        </row>
        <row r="3">
          <cell r="G3">
            <v>2809028</v>
          </cell>
          <cell r="H3">
            <v>498007</v>
          </cell>
          <cell r="I3">
            <v>3307035</v>
          </cell>
          <cell r="J3">
            <v>17224</v>
          </cell>
          <cell r="K3">
            <v>2975</v>
          </cell>
          <cell r="L3">
            <v>20199</v>
          </cell>
          <cell r="M3">
            <v>37161</v>
          </cell>
        </row>
        <row r="4">
          <cell r="G4">
            <v>3116753</v>
          </cell>
          <cell r="H4">
            <v>521327</v>
          </cell>
          <cell r="I4">
            <v>3638080</v>
          </cell>
          <cell r="J4">
            <v>20918</v>
          </cell>
          <cell r="K4">
            <v>3373</v>
          </cell>
          <cell r="L4">
            <v>24291</v>
          </cell>
          <cell r="M4">
            <v>45773</v>
          </cell>
        </row>
        <row r="5">
          <cell r="G5">
            <v>3186221</v>
          </cell>
          <cell r="H5">
            <v>572302</v>
          </cell>
          <cell r="I5">
            <v>3758523</v>
          </cell>
          <cell r="J5">
            <v>20405</v>
          </cell>
          <cell r="K5">
            <v>3438</v>
          </cell>
          <cell r="L5">
            <v>23843</v>
          </cell>
          <cell r="M5">
            <v>27194</v>
          </cell>
        </row>
        <row r="6">
          <cell r="G6">
            <v>3256829</v>
          </cell>
          <cell r="H6">
            <v>605742</v>
          </cell>
          <cell r="I6">
            <v>3862571</v>
          </cell>
          <cell r="J6">
            <v>21072</v>
          </cell>
          <cell r="K6">
            <v>3630</v>
          </cell>
          <cell r="L6">
            <v>24702</v>
          </cell>
          <cell r="M6">
            <v>43001</v>
          </cell>
        </row>
        <row r="7">
          <cell r="G7">
            <v>3083167</v>
          </cell>
          <cell r="H7">
            <v>555388</v>
          </cell>
          <cell r="I7">
            <v>3638555</v>
          </cell>
          <cell r="J7">
            <v>20066</v>
          </cell>
          <cell r="K7">
            <v>3401</v>
          </cell>
          <cell r="L7">
            <v>23467</v>
          </cell>
          <cell r="M7">
            <v>24889.8</v>
          </cell>
        </row>
        <row r="8">
          <cell r="G8">
            <v>2866480</v>
          </cell>
          <cell r="H8">
            <v>578495</v>
          </cell>
          <cell r="I8">
            <v>3444975</v>
          </cell>
          <cell r="J8">
            <v>3486</v>
          </cell>
          <cell r="K8">
            <v>18632</v>
          </cell>
          <cell r="L8">
            <v>22118</v>
          </cell>
          <cell r="M8">
            <v>47670</v>
          </cell>
        </row>
        <row r="9">
          <cell r="G9">
            <v>2932526</v>
          </cell>
          <cell r="H9">
            <v>581038</v>
          </cell>
          <cell r="I9">
            <v>3513564</v>
          </cell>
          <cell r="J9">
            <v>18911</v>
          </cell>
          <cell r="K9">
            <v>3523</v>
          </cell>
          <cell r="L9">
            <v>22434</v>
          </cell>
          <cell r="M9">
            <v>44960</v>
          </cell>
        </row>
        <row r="10">
          <cell r="G10">
            <v>2870357</v>
          </cell>
          <cell r="H10">
            <v>565343</v>
          </cell>
          <cell r="I10">
            <v>3435700</v>
          </cell>
          <cell r="J10">
            <v>18884</v>
          </cell>
          <cell r="K10">
            <v>3438</v>
          </cell>
          <cell r="L10">
            <v>22322</v>
          </cell>
          <cell r="M10">
            <v>27393</v>
          </cell>
        </row>
        <row r="11">
          <cell r="G11">
            <v>2820596</v>
          </cell>
          <cell r="H11">
            <v>425595</v>
          </cell>
          <cell r="J11">
            <v>18714</v>
          </cell>
          <cell r="K11">
            <v>2475</v>
          </cell>
          <cell r="L11">
            <v>21189</v>
          </cell>
        </row>
        <row r="12">
          <cell r="G12">
            <v>2667958</v>
          </cell>
          <cell r="H12">
            <v>378052</v>
          </cell>
          <cell r="J12">
            <v>17742</v>
          </cell>
          <cell r="K12">
            <v>2359</v>
          </cell>
          <cell r="L12">
            <v>20101</v>
          </cell>
        </row>
        <row r="13">
          <cell r="G13">
            <v>2830919</v>
          </cell>
          <cell r="H13">
            <v>397150</v>
          </cell>
          <cell r="J13">
            <v>9638</v>
          </cell>
          <cell r="K13">
            <v>2526</v>
          </cell>
          <cell r="L13">
            <v>12164</v>
          </cell>
        </row>
        <row r="14">
          <cell r="G14">
            <v>2993348</v>
          </cell>
          <cell r="H14">
            <v>428649</v>
          </cell>
          <cell r="J14">
            <v>19625</v>
          </cell>
          <cell r="K14">
            <v>2549</v>
          </cell>
          <cell r="L14">
            <v>22174</v>
          </cell>
        </row>
        <row r="15">
          <cell r="G15">
            <v>3045932</v>
          </cell>
          <cell r="H15">
            <v>481616</v>
          </cell>
          <cell r="J15">
            <v>19514</v>
          </cell>
          <cell r="K15">
            <v>2756</v>
          </cell>
          <cell r="L15">
            <v>22270</v>
          </cell>
        </row>
        <row r="16">
          <cell r="G16">
            <v>2888731</v>
          </cell>
          <cell r="H16">
            <v>433147</v>
          </cell>
          <cell r="J16">
            <v>18741</v>
          </cell>
          <cell r="K16">
            <v>2601</v>
          </cell>
          <cell r="L16">
            <v>21342</v>
          </cell>
        </row>
        <row r="17">
          <cell r="G17">
            <v>2847201</v>
          </cell>
          <cell r="H17">
            <v>444759</v>
          </cell>
          <cell r="J17">
            <v>18701</v>
          </cell>
          <cell r="K17">
            <v>2764</v>
          </cell>
          <cell r="L17">
            <v>21465</v>
          </cell>
        </row>
        <row r="18">
          <cell r="G18">
            <v>2934466</v>
          </cell>
          <cell r="H18">
            <v>455723</v>
          </cell>
          <cell r="J18">
            <v>19346</v>
          </cell>
          <cell r="K18">
            <v>2800</v>
          </cell>
          <cell r="L18">
            <v>22146</v>
          </cell>
        </row>
        <row r="19">
          <cell r="G19">
            <v>2938503</v>
          </cell>
          <cell r="H19">
            <v>439995</v>
          </cell>
          <cell r="J19">
            <v>19226</v>
          </cell>
          <cell r="K19">
            <v>2756</v>
          </cell>
          <cell r="L19">
            <v>21982</v>
          </cell>
        </row>
        <row r="20">
          <cell r="G20">
            <v>3089018</v>
          </cell>
          <cell r="H20">
            <v>489871</v>
          </cell>
          <cell r="J20">
            <v>20341</v>
          </cell>
          <cell r="K20">
            <v>2957</v>
          </cell>
          <cell r="L20">
            <v>23298</v>
          </cell>
        </row>
        <row r="21">
          <cell r="G21">
            <v>3063408</v>
          </cell>
          <cell r="H21">
            <v>504691</v>
          </cell>
          <cell r="J21">
            <v>19295</v>
          </cell>
          <cell r="K21">
            <v>2897</v>
          </cell>
          <cell r="L21">
            <v>22192</v>
          </cell>
        </row>
        <row r="22">
          <cell r="G22">
            <v>3160515</v>
          </cell>
          <cell r="H22">
            <v>566082</v>
          </cell>
          <cell r="J22">
            <v>19890</v>
          </cell>
          <cell r="K22">
            <v>3200</v>
          </cell>
          <cell r="L22">
            <v>23090</v>
          </cell>
        </row>
        <row r="23">
          <cell r="G23">
            <v>2789729</v>
          </cell>
          <cell r="H23">
            <v>366509</v>
          </cell>
          <cell r="J23">
            <v>19163</v>
          </cell>
          <cell r="K23">
            <v>2223</v>
          </cell>
          <cell r="M23">
            <v>31200</v>
          </cell>
        </row>
        <row r="24">
          <cell r="G24">
            <v>2542089</v>
          </cell>
          <cell r="H24">
            <v>324684</v>
          </cell>
          <cell r="J24">
            <v>16975</v>
          </cell>
          <cell r="K24">
            <v>2017</v>
          </cell>
          <cell r="M24">
            <v>30832</v>
          </cell>
        </row>
        <row r="25">
          <cell r="G25">
            <v>2830581</v>
          </cell>
          <cell r="H25">
            <v>340256</v>
          </cell>
          <cell r="J25">
            <v>19924</v>
          </cell>
          <cell r="K25">
            <v>2188</v>
          </cell>
          <cell r="M25">
            <v>36567</v>
          </cell>
        </row>
        <row r="26">
          <cell r="G26">
            <v>2859889</v>
          </cell>
          <cell r="H26">
            <v>346467</v>
          </cell>
          <cell r="J26">
            <v>18512</v>
          </cell>
          <cell r="K26">
            <v>2129</v>
          </cell>
          <cell r="M26">
            <v>32827</v>
          </cell>
        </row>
        <row r="27">
          <cell r="G27">
            <v>2937599</v>
          </cell>
          <cell r="H27">
            <v>388179</v>
          </cell>
          <cell r="J27">
            <v>18410</v>
          </cell>
          <cell r="K27">
            <v>2153</v>
          </cell>
          <cell r="M27">
            <v>34157</v>
          </cell>
        </row>
        <row r="28">
          <cell r="G28">
            <v>2619755</v>
          </cell>
          <cell r="H28">
            <v>393920</v>
          </cell>
          <cell r="J28">
            <v>16787</v>
          </cell>
          <cell r="K28">
            <v>2295</v>
          </cell>
          <cell r="M28" t="str">
            <v>35,60</v>
          </cell>
        </row>
        <row r="29">
          <cell r="G29">
            <v>2619755</v>
          </cell>
          <cell r="H29">
            <v>393920</v>
          </cell>
          <cell r="J29">
            <v>17382</v>
          </cell>
          <cell r="K29">
            <v>2286</v>
          </cell>
          <cell r="M29">
            <v>37647</v>
          </cell>
        </row>
        <row r="30">
          <cell r="G30">
            <v>2630673</v>
          </cell>
          <cell r="H30">
            <v>362388</v>
          </cell>
          <cell r="J30">
            <v>17371</v>
          </cell>
          <cell r="K30">
            <v>2244</v>
          </cell>
          <cell r="M30">
            <v>36517</v>
          </cell>
        </row>
        <row r="31">
          <cell r="G31">
            <v>2532537</v>
          </cell>
          <cell r="H31">
            <v>356831</v>
          </cell>
          <cell r="J31">
            <v>16795</v>
          </cell>
          <cell r="K31">
            <v>2222</v>
          </cell>
          <cell r="M31">
            <v>35959</v>
          </cell>
        </row>
        <row r="32">
          <cell r="G32">
            <v>2663647</v>
          </cell>
          <cell r="H32">
            <v>394171</v>
          </cell>
          <cell r="J32">
            <v>18319</v>
          </cell>
          <cell r="K32">
            <v>2319</v>
          </cell>
          <cell r="M32">
            <v>37763</v>
          </cell>
        </row>
        <row r="33">
          <cell r="G33">
            <v>2676442</v>
          </cell>
          <cell r="H33">
            <v>398792</v>
          </cell>
          <cell r="J33">
            <v>18160</v>
          </cell>
          <cell r="K33">
            <v>2403</v>
          </cell>
          <cell r="M33">
            <v>36171</v>
          </cell>
        </row>
        <row r="34">
          <cell r="G34">
            <v>2956760</v>
          </cell>
          <cell r="H34">
            <v>444347</v>
          </cell>
          <cell r="J34">
            <v>19153</v>
          </cell>
          <cell r="K34">
            <v>2497</v>
          </cell>
          <cell r="M34">
            <v>37380</v>
          </cell>
        </row>
        <row r="35">
          <cell r="G35">
            <v>1118570</v>
          </cell>
          <cell r="H35">
            <v>112652</v>
          </cell>
          <cell r="J35">
            <v>10850</v>
          </cell>
          <cell r="K35">
            <v>1409</v>
          </cell>
          <cell r="M35">
            <v>32973</v>
          </cell>
        </row>
        <row r="36">
          <cell r="G36">
            <v>1304767</v>
          </cell>
          <cell r="H36">
            <v>106153</v>
          </cell>
          <cell r="J36">
            <v>9682</v>
          </cell>
          <cell r="K36">
            <v>1235</v>
          </cell>
          <cell r="M36">
            <v>31881</v>
          </cell>
        </row>
        <row r="37">
          <cell r="G37">
            <v>1974561</v>
          </cell>
          <cell r="H37">
            <v>169533</v>
          </cell>
          <cell r="J37">
            <v>14863</v>
          </cell>
          <cell r="K37">
            <v>1537</v>
          </cell>
          <cell r="M37">
            <v>36109</v>
          </cell>
        </row>
        <row r="38">
          <cell r="G38">
            <v>2059872</v>
          </cell>
          <cell r="H38">
            <v>195521</v>
          </cell>
          <cell r="J38">
            <v>15238</v>
          </cell>
          <cell r="K38">
            <v>1529</v>
          </cell>
          <cell r="M38">
            <v>32437</v>
          </cell>
        </row>
        <row r="39">
          <cell r="G39">
            <v>2204233</v>
          </cell>
          <cell r="H39">
            <v>269382</v>
          </cell>
          <cell r="J39">
            <v>16122</v>
          </cell>
          <cell r="K39">
            <v>1888</v>
          </cell>
          <cell r="M39">
            <v>34747</v>
          </cell>
        </row>
        <row r="40">
          <cell r="G40">
            <v>1982590</v>
          </cell>
          <cell r="H40">
            <v>290187</v>
          </cell>
          <cell r="J40">
            <v>15195</v>
          </cell>
          <cell r="K40">
            <v>1929</v>
          </cell>
          <cell r="M40">
            <v>34623</v>
          </cell>
        </row>
        <row r="41">
          <cell r="G41">
            <v>1914500</v>
          </cell>
          <cell r="H41">
            <v>319500</v>
          </cell>
          <cell r="J41">
            <v>14178</v>
          </cell>
          <cell r="K41">
            <v>2089</v>
          </cell>
          <cell r="M41">
            <v>37163</v>
          </cell>
        </row>
        <row r="42">
          <cell r="G42">
            <v>2048671</v>
          </cell>
          <cell r="H42">
            <v>302407</v>
          </cell>
          <cell r="J42">
            <v>14932</v>
          </cell>
          <cell r="K42">
            <v>2146</v>
          </cell>
          <cell r="M42">
            <v>34878</v>
          </cell>
        </row>
        <row r="43">
          <cell r="G43">
            <v>2106335</v>
          </cell>
          <cell r="H43">
            <v>300544</v>
          </cell>
          <cell r="J43">
            <v>15169</v>
          </cell>
          <cell r="K43">
            <v>2071</v>
          </cell>
          <cell r="M43">
            <v>36013</v>
          </cell>
        </row>
        <row r="44">
          <cell r="G44">
            <v>2420054</v>
          </cell>
          <cell r="H44">
            <v>337060</v>
          </cell>
          <cell r="J44">
            <v>17032</v>
          </cell>
          <cell r="K44">
            <v>2196</v>
          </cell>
          <cell r="M44">
            <v>34185</v>
          </cell>
        </row>
        <row r="45">
          <cell r="G45">
            <v>2483329</v>
          </cell>
          <cell r="H45">
            <v>348326</v>
          </cell>
          <cell r="J45">
            <v>16539</v>
          </cell>
          <cell r="K45">
            <v>2161</v>
          </cell>
          <cell r="M45">
            <v>33291</v>
          </cell>
        </row>
        <row r="46">
          <cell r="G46">
            <v>2744182</v>
          </cell>
          <cell r="H46">
            <v>390888</v>
          </cell>
          <cell r="J46">
            <v>18045</v>
          </cell>
          <cell r="K46">
            <v>2274</v>
          </cell>
          <cell r="M46">
            <v>34375</v>
          </cell>
        </row>
        <row r="47">
          <cell r="G47">
            <v>1491564</v>
          </cell>
          <cell r="H47">
            <v>74957</v>
          </cell>
          <cell r="J47">
            <v>13747</v>
          </cell>
          <cell r="K47">
            <v>1304</v>
          </cell>
          <cell r="M47">
            <v>30964</v>
          </cell>
        </row>
        <row r="48">
          <cell r="G48">
            <v>1439086</v>
          </cell>
          <cell r="H48">
            <v>75633</v>
          </cell>
          <cell r="J48">
            <v>12629</v>
          </cell>
          <cell r="K48">
            <v>1225</v>
          </cell>
          <cell r="M48">
            <v>30566</v>
          </cell>
        </row>
        <row r="49">
          <cell r="G49">
            <v>1406763</v>
          </cell>
          <cell r="H49">
            <v>84145</v>
          </cell>
          <cell r="J49">
            <v>13992</v>
          </cell>
          <cell r="K49">
            <v>1355</v>
          </cell>
          <cell r="M49">
            <v>34423</v>
          </cell>
        </row>
        <row r="50">
          <cell r="G50">
            <v>1074360</v>
          </cell>
          <cell r="H50">
            <v>72701</v>
          </cell>
          <cell r="J50">
            <v>11404</v>
          </cell>
          <cell r="K50">
            <v>1272</v>
          </cell>
          <cell r="M50">
            <v>32441</v>
          </cell>
        </row>
        <row r="51">
          <cell r="G51">
            <v>373017</v>
          </cell>
          <cell r="H51">
            <v>24068</v>
          </cell>
          <cell r="J51">
            <v>5363</v>
          </cell>
          <cell r="K51">
            <v>993</v>
          </cell>
          <cell r="M51">
            <v>29090</v>
          </cell>
        </row>
        <row r="52">
          <cell r="G52">
            <v>502457</v>
          </cell>
          <cell r="H52">
            <v>22000</v>
          </cell>
          <cell r="J52">
            <v>5716</v>
          </cell>
          <cell r="K52">
            <v>921</v>
          </cell>
          <cell r="M52">
            <v>30418</v>
          </cell>
        </row>
        <row r="53">
          <cell r="G53">
            <v>878823</v>
          </cell>
          <cell r="H53">
            <v>42105</v>
          </cell>
          <cell r="J53">
            <v>8657</v>
          </cell>
          <cell r="K53">
            <v>1059</v>
          </cell>
          <cell r="M53">
            <v>34619</v>
          </cell>
        </row>
        <row r="54">
          <cell r="G54">
            <v>1183230</v>
          </cell>
          <cell r="H54">
            <v>80145</v>
          </cell>
          <cell r="J54">
            <v>10722</v>
          </cell>
          <cell r="K54">
            <v>1328</v>
          </cell>
          <cell r="M54">
            <v>37336</v>
          </cell>
        </row>
        <row r="55">
          <cell r="G55">
            <v>1222046</v>
          </cell>
          <cell r="H55">
            <v>85516</v>
          </cell>
          <cell r="J55">
            <v>11017</v>
          </cell>
          <cell r="K55">
            <v>1351</v>
          </cell>
          <cell r="M55">
            <v>37735</v>
          </cell>
        </row>
        <row r="56">
          <cell r="G56">
            <v>1627108</v>
          </cell>
          <cell r="H56">
            <v>113650</v>
          </cell>
          <cell r="J56">
            <v>13417</v>
          </cell>
          <cell r="K56">
            <v>1484</v>
          </cell>
          <cell r="M56">
            <v>39473</v>
          </cell>
        </row>
        <row r="57">
          <cell r="G57">
            <v>1894859</v>
          </cell>
          <cell r="H57">
            <v>122331</v>
          </cell>
          <cell r="J57">
            <v>14819</v>
          </cell>
          <cell r="K57">
            <v>1383</v>
          </cell>
          <cell r="M57">
            <v>34353</v>
          </cell>
        </row>
        <row r="58">
          <cell r="G58">
            <v>2032147</v>
          </cell>
          <cell r="H58">
            <v>150298</v>
          </cell>
          <cell r="J58">
            <v>16022</v>
          </cell>
          <cell r="K58">
            <v>1510</v>
          </cell>
          <cell r="M58">
            <v>35122</v>
          </cell>
        </row>
        <row r="59">
          <cell r="G59">
            <v>2500110</v>
          </cell>
          <cell r="H59">
            <v>439301</v>
          </cell>
          <cell r="J59">
            <v>18306</v>
          </cell>
          <cell r="K59">
            <v>2749</v>
          </cell>
          <cell r="M59">
            <v>30531</v>
          </cell>
        </row>
        <row r="60">
          <cell r="G60">
            <v>2365588</v>
          </cell>
          <cell r="H60">
            <v>325735</v>
          </cell>
          <cell r="J60">
            <v>17307</v>
          </cell>
          <cell r="K60">
            <v>2406</v>
          </cell>
          <cell r="M60">
            <v>30878</v>
          </cell>
        </row>
        <row r="61">
          <cell r="G61">
            <v>1416537</v>
          </cell>
          <cell r="H61">
            <v>124866</v>
          </cell>
          <cell r="J61">
            <v>13256</v>
          </cell>
          <cell r="K61">
            <v>1395</v>
          </cell>
          <cell r="M61">
            <v>24198</v>
          </cell>
        </row>
        <row r="62">
          <cell r="G62">
            <v>0</v>
          </cell>
          <cell r="H62">
            <v>2981</v>
          </cell>
          <cell r="J62">
            <v>232</v>
          </cell>
          <cell r="K62">
            <v>299</v>
          </cell>
          <cell r="M62">
            <v>8166</v>
          </cell>
        </row>
        <row r="63">
          <cell r="G63">
            <v>65525</v>
          </cell>
          <cell r="H63">
            <v>5792</v>
          </cell>
          <cell r="J63">
            <v>1217</v>
          </cell>
          <cell r="K63">
            <v>445</v>
          </cell>
          <cell r="M63">
            <v>14542</v>
          </cell>
        </row>
        <row r="64">
          <cell r="G64">
            <v>369752</v>
          </cell>
          <cell r="H64">
            <v>10654</v>
          </cell>
          <cell r="J64">
            <v>4290</v>
          </cell>
          <cell r="K64">
            <v>731</v>
          </cell>
          <cell r="M64">
            <v>23647</v>
          </cell>
        </row>
        <row r="65">
          <cell r="G65">
            <v>418302</v>
          </cell>
          <cell r="H65">
            <v>19781</v>
          </cell>
          <cell r="J65">
            <v>4958</v>
          </cell>
          <cell r="K65">
            <v>871</v>
          </cell>
          <cell r="M65">
            <v>25053</v>
          </cell>
        </row>
        <row r="66">
          <cell r="G66">
            <v>627367</v>
          </cell>
          <cell r="H66">
            <v>25215</v>
          </cell>
          <cell r="J66">
            <v>6659</v>
          </cell>
          <cell r="K66">
            <v>897</v>
          </cell>
          <cell r="M66">
            <v>27751</v>
          </cell>
        </row>
        <row r="67">
          <cell r="G67">
            <v>826291</v>
          </cell>
          <cell r="H67">
            <v>29510</v>
          </cell>
          <cell r="J67">
            <v>8805</v>
          </cell>
          <cell r="K67">
            <v>948</v>
          </cell>
          <cell r="M67">
            <v>32458</v>
          </cell>
        </row>
        <row r="68">
          <cell r="G68">
            <v>1115028</v>
          </cell>
          <cell r="H68">
            <v>31446</v>
          </cell>
          <cell r="J68">
            <v>10775</v>
          </cell>
          <cell r="K68">
            <v>995</v>
          </cell>
          <cell r="M68">
            <v>34334</v>
          </cell>
        </row>
        <row r="69">
          <cell r="G69">
            <v>1257293</v>
          </cell>
          <cell r="H69">
            <v>42651</v>
          </cell>
          <cell r="J69">
            <v>11693</v>
          </cell>
          <cell r="K69">
            <v>1015</v>
          </cell>
          <cell r="M69">
            <v>31579</v>
          </cell>
        </row>
        <row r="70">
          <cell r="G70">
            <v>1431837</v>
          </cell>
          <cell r="H70">
            <v>62621</v>
          </cell>
          <cell r="J70">
            <v>13462</v>
          </cell>
          <cell r="K70">
            <v>1107</v>
          </cell>
          <cell r="M70">
            <v>33189</v>
          </cell>
        </row>
        <row r="71">
          <cell r="G71">
            <v>2603329</v>
          </cell>
          <cell r="H71">
            <v>422113</v>
          </cell>
          <cell r="J71">
            <v>18654</v>
          </cell>
          <cell r="K71">
            <v>2850</v>
          </cell>
          <cell r="M71">
            <v>29148</v>
          </cell>
        </row>
        <row r="72">
          <cell r="G72">
            <v>2236283</v>
          </cell>
          <cell r="H72">
            <v>360949</v>
          </cell>
          <cell r="J72">
            <v>15212</v>
          </cell>
          <cell r="K72">
            <v>2532</v>
          </cell>
          <cell r="M72">
            <v>28777</v>
          </cell>
        </row>
        <row r="73">
          <cell r="G73">
            <v>2445004</v>
          </cell>
          <cell r="H73">
            <v>398359</v>
          </cell>
          <cell r="J73">
            <v>17282</v>
          </cell>
          <cell r="K73">
            <v>2766</v>
          </cell>
          <cell r="M73">
            <v>33062</v>
          </cell>
        </row>
        <row r="74">
          <cell r="G74">
            <v>2319400</v>
          </cell>
          <cell r="H74">
            <v>417166</v>
          </cell>
          <cell r="J74">
            <v>16140</v>
          </cell>
          <cell r="K74">
            <v>2622</v>
          </cell>
          <cell r="M74">
            <v>30485</v>
          </cell>
        </row>
        <row r="75">
          <cell r="G75">
            <v>2492324</v>
          </cell>
          <cell r="H75">
            <v>423369</v>
          </cell>
          <cell r="J75">
            <v>16944</v>
          </cell>
          <cell r="K75">
            <v>2624</v>
          </cell>
          <cell r="M75">
            <v>19968</v>
          </cell>
        </row>
        <row r="76">
          <cell r="G76">
            <v>2348284</v>
          </cell>
          <cell r="H76">
            <v>410725</v>
          </cell>
          <cell r="J76">
            <v>16216</v>
          </cell>
          <cell r="K76">
            <v>2582</v>
          </cell>
          <cell r="M76">
            <v>31103</v>
          </cell>
        </row>
        <row r="77">
          <cell r="G77">
            <v>2331749</v>
          </cell>
          <cell r="H77">
            <v>413074</v>
          </cell>
          <cell r="J77">
            <v>16545</v>
          </cell>
          <cell r="K77">
            <v>2683</v>
          </cell>
          <cell r="M77">
            <v>32581</v>
          </cell>
        </row>
        <row r="78">
          <cell r="G78">
            <v>2362574</v>
          </cell>
          <cell r="H78">
            <v>398736</v>
          </cell>
          <cell r="J78">
            <v>16660</v>
          </cell>
          <cell r="K78">
            <v>2662</v>
          </cell>
          <cell r="M78">
            <v>32632</v>
          </cell>
        </row>
        <row r="79">
          <cell r="G79">
            <v>2237442</v>
          </cell>
          <cell r="H79">
            <v>367753</v>
          </cell>
          <cell r="J79">
            <v>15935</v>
          </cell>
          <cell r="K79">
            <v>2527</v>
          </cell>
          <cell r="M79">
            <v>32349</v>
          </cell>
        </row>
        <row r="80">
          <cell r="G80">
            <v>2385204</v>
          </cell>
          <cell r="H80">
            <v>398280</v>
          </cell>
          <cell r="J80">
            <v>17579</v>
          </cell>
          <cell r="K80">
            <v>2613</v>
          </cell>
          <cell r="M80">
            <v>34291</v>
          </cell>
        </row>
        <row r="81">
          <cell r="G81">
            <v>2481058</v>
          </cell>
          <cell r="H81">
            <v>412233</v>
          </cell>
          <cell r="J81">
            <v>17200</v>
          </cell>
          <cell r="K81">
            <v>2691</v>
          </cell>
          <cell r="M81">
            <v>31374</v>
          </cell>
        </row>
        <row r="82">
          <cell r="G82">
            <v>2542865</v>
          </cell>
          <cell r="H82">
            <v>446393</v>
          </cell>
          <cell r="J82">
            <v>17960</v>
          </cell>
          <cell r="K82">
            <v>2757</v>
          </cell>
          <cell r="M82">
            <v>30968</v>
          </cell>
        </row>
        <row r="83">
          <cell r="G83">
            <v>2202335</v>
          </cell>
          <cell r="H83">
            <v>352567</v>
          </cell>
          <cell r="J83">
            <v>16172</v>
          </cell>
          <cell r="K83">
            <v>2306</v>
          </cell>
          <cell r="M83">
            <v>27252</v>
          </cell>
        </row>
        <row r="84">
          <cell r="G84">
            <v>2089470</v>
          </cell>
          <cell r="H84">
            <v>296012</v>
          </cell>
          <cell r="J84">
            <v>14912</v>
          </cell>
          <cell r="K84">
            <v>2037</v>
          </cell>
          <cell r="M84">
            <v>28115</v>
          </cell>
        </row>
        <row r="85">
          <cell r="G85">
            <v>2225771</v>
          </cell>
          <cell r="H85">
            <v>323752</v>
          </cell>
          <cell r="J85">
            <v>16558</v>
          </cell>
          <cell r="K85">
            <v>2315</v>
          </cell>
          <cell r="M85">
            <v>31996</v>
          </cell>
        </row>
        <row r="86">
          <cell r="G86">
            <v>2285077</v>
          </cell>
          <cell r="H86">
            <v>356290</v>
          </cell>
          <cell r="J86">
            <v>16265</v>
          </cell>
          <cell r="K86">
            <v>2282</v>
          </cell>
          <cell r="M86">
            <v>30134</v>
          </cell>
        </row>
        <row r="87">
          <cell r="G87">
            <v>2358276</v>
          </cell>
          <cell r="H87">
            <v>386503</v>
          </cell>
          <cell r="J87">
            <v>17382</v>
          </cell>
          <cell r="K87">
            <v>2429</v>
          </cell>
          <cell r="M87">
            <v>20877</v>
          </cell>
        </row>
        <row r="88">
          <cell r="G88">
            <v>2296655</v>
          </cell>
          <cell r="H88">
            <v>345352</v>
          </cell>
          <cell r="J88">
            <v>17235</v>
          </cell>
          <cell r="K88">
            <v>2288</v>
          </cell>
          <cell r="M88">
            <v>34380</v>
          </cell>
        </row>
        <row r="89">
          <cell r="G89">
            <v>2399010</v>
          </cell>
          <cell r="H89">
            <v>361952</v>
          </cell>
          <cell r="J89">
            <v>17245</v>
          </cell>
          <cell r="K89">
            <v>2313</v>
          </cell>
          <cell r="M89">
            <v>35930</v>
          </cell>
        </row>
        <row r="90">
          <cell r="G90">
            <v>2377057</v>
          </cell>
          <cell r="H90">
            <v>365429</v>
          </cell>
          <cell r="J90">
            <v>17541</v>
          </cell>
          <cell r="K90">
            <v>2406</v>
          </cell>
          <cell r="M90">
            <v>35123</v>
          </cell>
        </row>
        <row r="91">
          <cell r="G91">
            <v>2295397</v>
          </cell>
          <cell r="H91">
            <v>334202</v>
          </cell>
          <cell r="J91">
            <v>17541</v>
          </cell>
          <cell r="K91">
            <v>2406</v>
          </cell>
          <cell r="M91">
            <v>32972</v>
          </cell>
        </row>
        <row r="92">
          <cell r="G92">
            <v>2457167</v>
          </cell>
          <cell r="H92">
            <v>359126</v>
          </cell>
          <cell r="J92">
            <v>18610</v>
          </cell>
          <cell r="K92">
            <v>2408</v>
          </cell>
          <cell r="M92">
            <v>33925</v>
          </cell>
        </row>
        <row r="93">
          <cell r="G93">
            <v>2426691</v>
          </cell>
          <cell r="H93">
            <v>372230</v>
          </cell>
          <cell r="J93">
            <v>18183</v>
          </cell>
          <cell r="K93">
            <v>2485</v>
          </cell>
          <cell r="M93">
            <v>29558</v>
          </cell>
        </row>
        <row r="94">
          <cell r="G94">
            <v>2644995</v>
          </cell>
          <cell r="H94">
            <v>420256</v>
          </cell>
          <cell r="J94">
            <v>18788</v>
          </cell>
          <cell r="K94">
            <v>2749</v>
          </cell>
          <cell r="M94">
            <v>30784</v>
          </cell>
        </row>
        <row r="95">
          <cell r="G95">
            <v>1802314</v>
          </cell>
          <cell r="H95">
            <v>330828</v>
          </cell>
          <cell r="J95">
            <v>13578</v>
          </cell>
          <cell r="K95">
            <v>2098</v>
          </cell>
          <cell r="M95">
            <v>25084</v>
          </cell>
        </row>
        <row r="96">
          <cell r="G96">
            <v>1493490</v>
          </cell>
          <cell r="H96">
            <v>276329</v>
          </cell>
          <cell r="J96">
            <v>10967</v>
          </cell>
          <cell r="K96">
            <v>6247</v>
          </cell>
          <cell r="M96">
            <v>24639</v>
          </cell>
        </row>
        <row r="97">
          <cell r="G97">
            <v>1439540</v>
          </cell>
          <cell r="H97">
            <v>284247</v>
          </cell>
          <cell r="J97">
            <v>16558</v>
          </cell>
          <cell r="K97">
            <v>2315</v>
          </cell>
          <cell r="M97">
            <v>28698</v>
          </cell>
        </row>
        <row r="98">
          <cell r="G98">
            <v>1504943</v>
          </cell>
          <cell r="H98">
            <v>302729</v>
          </cell>
          <cell r="J98">
            <v>10471</v>
          </cell>
          <cell r="K98">
            <v>2009</v>
          </cell>
          <cell r="M98">
            <v>17259</v>
          </cell>
        </row>
        <row r="99">
          <cell r="G99">
            <v>1847667</v>
          </cell>
          <cell r="H99">
            <v>338969</v>
          </cell>
          <cell r="J99">
            <v>13452</v>
          </cell>
          <cell r="K99">
            <v>2160</v>
          </cell>
          <cell r="M99">
            <v>28273</v>
          </cell>
        </row>
        <row r="100">
          <cell r="G100">
            <v>1757678</v>
          </cell>
          <cell r="H100">
            <v>290102</v>
          </cell>
          <cell r="J100">
            <v>13397</v>
          </cell>
          <cell r="K100">
            <v>2065</v>
          </cell>
          <cell r="M100">
            <v>29035</v>
          </cell>
        </row>
        <row r="101">
          <cell r="G101">
            <v>1796729</v>
          </cell>
          <cell r="H101">
            <v>320553</v>
          </cell>
          <cell r="J101">
            <v>13743</v>
          </cell>
          <cell r="K101">
            <v>2153</v>
          </cell>
          <cell r="M101">
            <v>29905</v>
          </cell>
        </row>
        <row r="102">
          <cell r="G102">
            <v>1829612</v>
          </cell>
          <cell r="H102">
            <v>314632</v>
          </cell>
          <cell r="J102">
            <v>13857</v>
          </cell>
          <cell r="K102">
            <v>2198</v>
          </cell>
          <cell r="M102">
            <v>29564</v>
          </cell>
        </row>
        <row r="103">
          <cell r="G103">
            <v>1791883</v>
          </cell>
          <cell r="H103">
            <v>298052</v>
          </cell>
          <cell r="J103">
            <v>13691</v>
          </cell>
          <cell r="K103">
            <v>2133</v>
          </cell>
          <cell r="M103">
            <v>29957</v>
          </cell>
        </row>
        <row r="104">
          <cell r="G104">
            <v>1961737</v>
          </cell>
          <cell r="H104">
            <v>304524</v>
          </cell>
          <cell r="J104">
            <v>18610</v>
          </cell>
          <cell r="K104">
            <v>2408</v>
          </cell>
          <cell r="M104">
            <v>28893</v>
          </cell>
        </row>
        <row r="105">
          <cell r="G105">
            <v>1951875</v>
          </cell>
          <cell r="H105">
            <v>308457</v>
          </cell>
          <cell r="J105">
            <v>14090</v>
          </cell>
          <cell r="K105">
            <v>2194</v>
          </cell>
          <cell r="M105">
            <v>28979</v>
          </cell>
        </row>
        <row r="106">
          <cell r="G106">
            <v>2136680</v>
          </cell>
          <cell r="H106">
            <v>363702</v>
          </cell>
          <cell r="J106">
            <v>15417</v>
          </cell>
          <cell r="K106">
            <v>2266</v>
          </cell>
          <cell r="M106">
            <v>30158</v>
          </cell>
        </row>
        <row r="107">
          <cell r="G107">
            <v>1365078</v>
          </cell>
          <cell r="H107">
            <v>315662</v>
          </cell>
          <cell r="J107">
            <v>11445</v>
          </cell>
          <cell r="K107">
            <v>1988</v>
          </cell>
          <cell r="M107">
            <v>23356</v>
          </cell>
        </row>
        <row r="108">
          <cell r="G108">
            <v>1330652</v>
          </cell>
          <cell r="H108">
            <v>267172</v>
          </cell>
          <cell r="J108">
            <v>10896</v>
          </cell>
          <cell r="K108">
            <v>1859</v>
          </cell>
          <cell r="M108">
            <v>23687</v>
          </cell>
        </row>
        <row r="109">
          <cell r="G109">
            <v>1379475</v>
          </cell>
          <cell r="H109">
            <v>275158</v>
          </cell>
          <cell r="J109">
            <v>11771</v>
          </cell>
          <cell r="K109">
            <v>2032</v>
          </cell>
          <cell r="M109">
            <v>26094</v>
          </cell>
        </row>
        <row r="110">
          <cell r="G110">
            <v>1485502</v>
          </cell>
          <cell r="H110">
            <v>308127</v>
          </cell>
          <cell r="J110">
            <v>12484</v>
          </cell>
          <cell r="K110">
            <v>1953</v>
          </cell>
          <cell r="M110">
            <v>15882</v>
          </cell>
        </row>
        <row r="111">
          <cell r="G111">
            <v>1634634</v>
          </cell>
          <cell r="H111">
            <v>331542</v>
          </cell>
          <cell r="J111">
            <v>13318</v>
          </cell>
          <cell r="K111">
            <v>2025</v>
          </cell>
          <cell r="M111">
            <v>26197</v>
          </cell>
        </row>
        <row r="112">
          <cell r="G112">
            <v>1458251</v>
          </cell>
          <cell r="H112">
            <v>282038</v>
          </cell>
          <cell r="J112">
            <v>12695</v>
          </cell>
          <cell r="K112">
            <v>1935</v>
          </cell>
          <cell r="M112">
            <v>26944</v>
          </cell>
        </row>
        <row r="113">
          <cell r="G113">
            <v>1617371</v>
          </cell>
          <cell r="H113">
            <v>307179</v>
          </cell>
          <cell r="J113">
            <v>13743</v>
          </cell>
          <cell r="K113">
            <v>2153</v>
          </cell>
          <cell r="M113">
            <v>28820</v>
          </cell>
        </row>
        <row r="114">
          <cell r="G114">
            <v>1583068</v>
          </cell>
          <cell r="H114">
            <v>297325</v>
          </cell>
          <cell r="J114">
            <v>12709</v>
          </cell>
          <cell r="K114">
            <v>2007</v>
          </cell>
          <cell r="M114">
            <v>27706</v>
          </cell>
        </row>
        <row r="115">
          <cell r="G115">
            <v>1511573</v>
          </cell>
          <cell r="H115">
            <v>274041</v>
          </cell>
          <cell r="J115">
            <v>12531</v>
          </cell>
          <cell r="K115">
            <v>1944</v>
          </cell>
          <cell r="M115">
            <v>25844</v>
          </cell>
        </row>
        <row r="116">
          <cell r="G116">
            <v>1701964</v>
          </cell>
          <cell r="H116">
            <v>297714</v>
          </cell>
          <cell r="J116">
            <v>13713</v>
          </cell>
          <cell r="K116">
            <v>2075</v>
          </cell>
          <cell r="M116">
            <v>28720</v>
          </cell>
        </row>
        <row r="117">
          <cell r="G117">
            <v>1729088</v>
          </cell>
          <cell r="H117">
            <v>281363</v>
          </cell>
          <cell r="J117">
            <v>13781</v>
          </cell>
          <cell r="K117">
            <v>1983</v>
          </cell>
          <cell r="M117">
            <v>25337</v>
          </cell>
        </row>
        <row r="118">
          <cell r="G118">
            <v>1825171</v>
          </cell>
          <cell r="H118">
            <v>328693</v>
          </cell>
          <cell r="J118">
            <v>13656</v>
          </cell>
          <cell r="K118">
            <v>2076</v>
          </cell>
        </row>
        <row r="119">
          <cell r="G119">
            <v>1126792</v>
          </cell>
          <cell r="H119">
            <v>280561</v>
          </cell>
          <cell r="J119">
            <v>9697</v>
          </cell>
          <cell r="K119">
            <v>1880</v>
          </cell>
          <cell r="M119">
            <v>21926</v>
          </cell>
        </row>
        <row r="120">
          <cell r="G120">
            <v>1065905</v>
          </cell>
          <cell r="H120">
            <v>234904</v>
          </cell>
          <cell r="J120">
            <v>8699</v>
          </cell>
          <cell r="K120">
            <v>1686</v>
          </cell>
          <cell r="M120">
            <v>21933</v>
          </cell>
        </row>
        <row r="121">
          <cell r="G121">
            <v>1116941</v>
          </cell>
          <cell r="H121">
            <v>248041</v>
          </cell>
          <cell r="J121">
            <v>9864</v>
          </cell>
          <cell r="K121">
            <v>1836</v>
          </cell>
          <cell r="M121">
            <v>24556</v>
          </cell>
        </row>
        <row r="122">
          <cell r="G122">
            <v>1208706</v>
          </cell>
          <cell r="H122">
            <v>267429</v>
          </cell>
          <cell r="J122">
            <v>9702</v>
          </cell>
          <cell r="K122">
            <v>1741</v>
          </cell>
          <cell r="M122">
            <v>23222</v>
          </cell>
        </row>
        <row r="123">
          <cell r="G123">
            <v>1292982</v>
          </cell>
          <cell r="H123">
            <v>289621</v>
          </cell>
          <cell r="J123">
            <v>10398</v>
          </cell>
          <cell r="K123">
            <v>1789</v>
          </cell>
          <cell r="M123">
            <v>24037</v>
          </cell>
        </row>
        <row r="124">
          <cell r="G124">
            <v>1184267</v>
          </cell>
          <cell r="H124">
            <v>260500</v>
          </cell>
          <cell r="J124">
            <v>10253</v>
          </cell>
          <cell r="K124">
            <v>1757</v>
          </cell>
          <cell r="M124">
            <v>23551</v>
          </cell>
        </row>
        <row r="125">
          <cell r="G125">
            <v>1277026</v>
          </cell>
          <cell r="H125">
            <v>267730</v>
          </cell>
          <cell r="J125">
            <v>10885</v>
          </cell>
          <cell r="K125">
            <v>1813</v>
          </cell>
          <cell r="M125">
            <v>25704</v>
          </cell>
        </row>
        <row r="126">
          <cell r="G126">
            <v>1279147</v>
          </cell>
          <cell r="H126">
            <v>272082</v>
          </cell>
          <cell r="J126">
            <v>10930</v>
          </cell>
          <cell r="K126">
            <v>1821</v>
          </cell>
          <cell r="M126">
            <v>24520</v>
          </cell>
        </row>
        <row r="127">
          <cell r="G127">
            <v>1207497</v>
          </cell>
          <cell r="H127">
            <v>254550</v>
          </cell>
          <cell r="J127">
            <v>10754</v>
          </cell>
          <cell r="K127">
            <v>1870</v>
          </cell>
          <cell r="M127">
            <v>23495</v>
          </cell>
        </row>
        <row r="128">
          <cell r="G128">
            <v>1332640</v>
          </cell>
          <cell r="H128">
            <v>284827</v>
          </cell>
          <cell r="J128">
            <v>11316</v>
          </cell>
          <cell r="K128">
            <v>1968</v>
          </cell>
          <cell r="M128">
            <v>25380</v>
          </cell>
        </row>
        <row r="129">
          <cell r="G129">
            <v>1325623</v>
          </cell>
          <cell r="H129">
            <v>270362</v>
          </cell>
          <cell r="J129">
            <v>11006</v>
          </cell>
          <cell r="K129">
            <v>1802</v>
          </cell>
          <cell r="M129">
            <v>22632</v>
          </cell>
        </row>
        <row r="130">
          <cell r="G130">
            <v>1421886</v>
          </cell>
          <cell r="H130">
            <v>341077</v>
          </cell>
          <cell r="J130">
            <v>11244</v>
          </cell>
          <cell r="K130">
            <v>2023</v>
          </cell>
          <cell r="M130">
            <v>26272</v>
          </cell>
        </row>
        <row r="131">
          <cell r="G131">
            <v>1521680</v>
          </cell>
          <cell r="H131">
            <v>543281</v>
          </cell>
          <cell r="I131">
            <v>2064961</v>
          </cell>
          <cell r="J131">
            <v>10713</v>
          </cell>
          <cell r="K131">
            <v>3435</v>
          </cell>
          <cell r="L131">
            <v>14148</v>
          </cell>
          <cell r="M131">
            <v>28606.7</v>
          </cell>
        </row>
        <row r="132">
          <cell r="G132">
            <v>1391003</v>
          </cell>
          <cell r="H132">
            <v>469808</v>
          </cell>
          <cell r="I132">
            <v>1860811</v>
          </cell>
          <cell r="J132">
            <v>9622</v>
          </cell>
          <cell r="K132">
            <v>3068</v>
          </cell>
          <cell r="L132">
            <v>12690</v>
          </cell>
          <cell r="M132">
            <v>29452.3</v>
          </cell>
        </row>
        <row r="133">
          <cell r="G133">
            <v>1437411</v>
          </cell>
          <cell r="H133">
            <v>472030</v>
          </cell>
          <cell r="I133">
            <v>1909441</v>
          </cell>
          <cell r="J133">
            <v>10797</v>
          </cell>
          <cell r="K133">
            <v>3462</v>
          </cell>
          <cell r="L133">
            <v>14259</v>
          </cell>
          <cell r="M133">
            <v>38018</v>
          </cell>
        </row>
        <row r="134">
          <cell r="G134">
            <v>1447202</v>
          </cell>
          <cell r="H134">
            <v>495816</v>
          </cell>
          <cell r="I134">
            <v>1943018</v>
          </cell>
          <cell r="J134">
            <v>10444</v>
          </cell>
          <cell r="K134">
            <v>3372</v>
          </cell>
          <cell r="L134">
            <v>13816</v>
          </cell>
          <cell r="M134">
            <v>27392.9</v>
          </cell>
        </row>
        <row r="135">
          <cell r="G135">
            <v>1485777</v>
          </cell>
          <cell r="H135">
            <v>555458</v>
          </cell>
          <cell r="I135">
            <v>2041235</v>
          </cell>
          <cell r="J135">
            <v>10596</v>
          </cell>
          <cell r="K135">
            <v>3636</v>
          </cell>
          <cell r="L135">
            <v>14232</v>
          </cell>
          <cell r="M135">
            <v>36551.599999999999</v>
          </cell>
        </row>
        <row r="136">
          <cell r="G136">
            <v>1410205</v>
          </cell>
          <cell r="H136">
            <v>513300</v>
          </cell>
          <cell r="I136">
            <v>1923505</v>
          </cell>
          <cell r="J136">
            <v>10179</v>
          </cell>
          <cell r="K136">
            <v>3483</v>
          </cell>
          <cell r="L136">
            <v>13662</v>
          </cell>
          <cell r="M136">
            <v>34792.800000000003</v>
          </cell>
        </row>
        <row r="137">
          <cell r="G137">
            <v>1354143</v>
          </cell>
          <cell r="H137">
            <v>529468</v>
          </cell>
          <cell r="I137">
            <v>1883611</v>
          </cell>
          <cell r="J137">
            <v>3587</v>
          </cell>
          <cell r="K137">
            <v>9418</v>
          </cell>
          <cell r="L137">
            <v>13005</v>
          </cell>
          <cell r="M137">
            <v>37613.300000000003</v>
          </cell>
        </row>
        <row r="138">
          <cell r="G138">
            <v>1364097</v>
          </cell>
          <cell r="H138">
            <v>527736</v>
          </cell>
          <cell r="I138">
            <v>1891833</v>
          </cell>
          <cell r="J138">
            <v>9625</v>
          </cell>
          <cell r="K138">
            <v>3593</v>
          </cell>
          <cell r="L138">
            <v>13218</v>
          </cell>
          <cell r="M138">
            <v>36203.5</v>
          </cell>
        </row>
        <row r="139">
          <cell r="G139">
            <v>1317915</v>
          </cell>
          <cell r="H139">
            <v>505389</v>
          </cell>
          <cell r="I139">
            <v>1823304</v>
          </cell>
          <cell r="J139">
            <v>9376</v>
          </cell>
          <cell r="K139">
            <v>3540</v>
          </cell>
          <cell r="L139">
            <v>12916</v>
          </cell>
          <cell r="M139">
            <v>33598.800000000003</v>
          </cell>
        </row>
        <row r="140">
          <cell r="G140">
            <v>1340350</v>
          </cell>
          <cell r="H140">
            <v>539599</v>
          </cell>
          <cell r="J140">
            <v>9029</v>
          </cell>
          <cell r="K140">
            <v>3407</v>
          </cell>
          <cell r="L140">
            <v>12436</v>
          </cell>
        </row>
        <row r="141">
          <cell r="G141">
            <v>1273459</v>
          </cell>
          <cell r="H141">
            <v>477821</v>
          </cell>
          <cell r="J141">
            <v>8599</v>
          </cell>
          <cell r="K141">
            <v>3129</v>
          </cell>
          <cell r="L141">
            <v>11728</v>
          </cell>
        </row>
        <row r="142">
          <cell r="G142">
            <v>1301757</v>
          </cell>
          <cell r="H142">
            <v>479949</v>
          </cell>
          <cell r="J142">
            <v>9290</v>
          </cell>
          <cell r="K142">
            <v>3331</v>
          </cell>
          <cell r="L142">
            <v>12621</v>
          </cell>
        </row>
        <row r="143">
          <cell r="G143">
            <v>1282512</v>
          </cell>
          <cell r="H143">
            <v>458071</v>
          </cell>
          <cell r="J143">
            <v>9200</v>
          </cell>
          <cell r="K143">
            <v>3107</v>
          </cell>
          <cell r="L143">
            <v>12307</v>
          </cell>
        </row>
        <row r="144">
          <cell r="G144">
            <v>1386609</v>
          </cell>
          <cell r="H144">
            <v>527355</v>
          </cell>
          <cell r="J144">
            <v>9382</v>
          </cell>
          <cell r="K144">
            <v>3273</v>
          </cell>
          <cell r="L144">
            <v>12655</v>
          </cell>
        </row>
        <row r="145">
          <cell r="G145">
            <v>1293987</v>
          </cell>
          <cell r="H145">
            <v>490470</v>
          </cell>
          <cell r="J145">
            <v>8947</v>
          </cell>
          <cell r="K145">
            <v>3202</v>
          </cell>
          <cell r="L145">
            <v>12149</v>
          </cell>
        </row>
        <row r="146">
          <cell r="G146">
            <v>1310132</v>
          </cell>
          <cell r="H146">
            <v>503506</v>
          </cell>
          <cell r="J146">
            <v>9184</v>
          </cell>
          <cell r="K146">
            <v>3327</v>
          </cell>
          <cell r="L146">
            <v>12511</v>
          </cell>
        </row>
        <row r="147">
          <cell r="G147">
            <v>1357220</v>
          </cell>
          <cell r="H147">
            <v>486117</v>
          </cell>
          <cell r="J147">
            <v>9506</v>
          </cell>
          <cell r="K147">
            <v>3286</v>
          </cell>
          <cell r="L147">
            <v>12792</v>
          </cell>
        </row>
        <row r="148">
          <cell r="G148">
            <v>1340617</v>
          </cell>
          <cell r="H148">
            <v>444937</v>
          </cell>
          <cell r="J148">
            <v>9366</v>
          </cell>
          <cell r="K148">
            <v>3173</v>
          </cell>
          <cell r="L148">
            <v>12539</v>
          </cell>
        </row>
        <row r="149">
          <cell r="G149">
            <v>1340740</v>
          </cell>
          <cell r="H149">
            <v>453134</v>
          </cell>
          <cell r="J149">
            <v>9873</v>
          </cell>
          <cell r="K149">
            <v>3274</v>
          </cell>
          <cell r="L149">
            <v>13147</v>
          </cell>
        </row>
        <row r="150">
          <cell r="G150">
            <v>1365412</v>
          </cell>
          <cell r="H150">
            <v>474623</v>
          </cell>
          <cell r="J150">
            <v>9721</v>
          </cell>
          <cell r="K150">
            <v>3128</v>
          </cell>
          <cell r="L150">
            <v>12849</v>
          </cell>
        </row>
        <row r="151">
          <cell r="G151">
            <v>1528623</v>
          </cell>
          <cell r="H151">
            <v>532012</v>
          </cell>
          <cell r="J151">
            <v>10683</v>
          </cell>
          <cell r="K151">
            <v>3397</v>
          </cell>
          <cell r="L151">
            <v>14080</v>
          </cell>
        </row>
        <row r="152">
          <cell r="G152">
            <v>1285261</v>
          </cell>
          <cell r="H152">
            <v>465733</v>
          </cell>
          <cell r="J152">
            <v>9877</v>
          </cell>
          <cell r="K152">
            <v>2744</v>
          </cell>
          <cell r="M152">
            <v>23593</v>
          </cell>
        </row>
        <row r="153">
          <cell r="G153">
            <v>1199673</v>
          </cell>
          <cell r="H153">
            <v>408081</v>
          </cell>
          <cell r="J153">
            <v>9004</v>
          </cell>
          <cell r="K153">
            <v>2530</v>
          </cell>
          <cell r="M153">
            <v>25515</v>
          </cell>
        </row>
        <row r="154">
          <cell r="G154">
            <v>1286312</v>
          </cell>
          <cell r="H154">
            <v>437106</v>
          </cell>
          <cell r="J154">
            <v>9844</v>
          </cell>
          <cell r="K154">
            <v>3005</v>
          </cell>
          <cell r="M154" t="str">
            <v>32,23</v>
          </cell>
        </row>
        <row r="155">
          <cell r="G155">
            <v>1296002</v>
          </cell>
          <cell r="H155">
            <v>432326</v>
          </cell>
          <cell r="J155">
            <v>9189</v>
          </cell>
          <cell r="K155">
            <v>3001</v>
          </cell>
          <cell r="M155">
            <v>27967</v>
          </cell>
        </row>
        <row r="156">
          <cell r="G156">
            <v>1378274</v>
          </cell>
          <cell r="H156">
            <v>518158</v>
          </cell>
          <cell r="J156">
            <v>9375</v>
          </cell>
          <cell r="K156">
            <v>3145</v>
          </cell>
          <cell r="M156">
            <v>28872</v>
          </cell>
        </row>
        <row r="157">
          <cell r="G157">
            <v>1188453</v>
          </cell>
          <cell r="H157">
            <v>518766</v>
          </cell>
          <cell r="J157">
            <v>8715</v>
          </cell>
          <cell r="K157">
            <v>3054</v>
          </cell>
          <cell r="M157">
            <v>27769</v>
          </cell>
        </row>
        <row r="158">
          <cell r="G158">
            <v>1188453</v>
          </cell>
          <cell r="H158">
            <v>518766</v>
          </cell>
          <cell r="J158">
            <v>8659</v>
          </cell>
          <cell r="K158">
            <v>3219</v>
          </cell>
          <cell r="M158">
            <v>27644</v>
          </cell>
        </row>
        <row r="159">
          <cell r="G159">
            <v>1258319</v>
          </cell>
          <cell r="H159">
            <v>494796</v>
          </cell>
          <cell r="J159">
            <v>8818</v>
          </cell>
          <cell r="K159">
            <v>3228</v>
          </cell>
          <cell r="M159">
            <v>27509</v>
          </cell>
        </row>
        <row r="160">
          <cell r="G160">
            <v>1236030</v>
          </cell>
          <cell r="H160">
            <v>462176</v>
          </cell>
          <cell r="J160">
            <v>8962</v>
          </cell>
          <cell r="K160">
            <v>3129</v>
          </cell>
          <cell r="M160">
            <v>27291</v>
          </cell>
        </row>
        <row r="161">
          <cell r="G161">
            <v>1227827</v>
          </cell>
          <cell r="H161">
            <v>461658</v>
          </cell>
          <cell r="J161">
            <v>9261</v>
          </cell>
          <cell r="K161">
            <v>3224</v>
          </cell>
          <cell r="M161">
            <v>27754</v>
          </cell>
        </row>
        <row r="162">
          <cell r="G162">
            <v>1263346</v>
          </cell>
          <cell r="H162">
            <v>479390</v>
          </cell>
          <cell r="J162">
            <v>8857</v>
          </cell>
          <cell r="K162">
            <v>3234</v>
          </cell>
          <cell r="M162">
            <v>26906</v>
          </cell>
        </row>
        <row r="163">
          <cell r="G163">
            <v>1315616</v>
          </cell>
          <cell r="H163">
            <v>516217</v>
          </cell>
          <cell r="J163">
            <v>8644</v>
          </cell>
          <cell r="K163">
            <v>3291</v>
          </cell>
          <cell r="M163">
            <v>28024.3</v>
          </cell>
        </row>
        <row r="176">
          <cell r="G176">
            <v>777635</v>
          </cell>
          <cell r="H176">
            <v>100381</v>
          </cell>
          <cell r="I176">
            <v>878016</v>
          </cell>
          <cell r="J176">
            <v>7692</v>
          </cell>
          <cell r="K176">
            <v>1424</v>
          </cell>
          <cell r="M176">
            <v>28717</v>
          </cell>
        </row>
        <row r="177">
          <cell r="G177">
            <v>757592</v>
          </cell>
          <cell r="H177">
            <v>90886</v>
          </cell>
          <cell r="I177">
            <v>848478</v>
          </cell>
          <cell r="J177">
            <v>7089</v>
          </cell>
          <cell r="K177">
            <v>1315</v>
          </cell>
          <cell r="M177">
            <v>29513</v>
          </cell>
        </row>
        <row r="178">
          <cell r="G178">
            <v>741962</v>
          </cell>
          <cell r="H178">
            <v>106056</v>
          </cell>
          <cell r="I178">
            <v>848018</v>
          </cell>
          <cell r="J178">
            <v>7900</v>
          </cell>
          <cell r="K178">
            <v>1533</v>
          </cell>
          <cell r="M178">
            <v>35674</v>
          </cell>
        </row>
        <row r="179">
          <cell r="G179">
            <v>576348</v>
          </cell>
          <cell r="H179">
            <v>89380</v>
          </cell>
          <cell r="I179">
            <v>665728</v>
          </cell>
          <cell r="J179">
            <v>6990</v>
          </cell>
          <cell r="K179">
            <v>1421</v>
          </cell>
          <cell r="M179">
            <v>31464</v>
          </cell>
        </row>
        <row r="180">
          <cell r="G180">
            <v>186079</v>
          </cell>
          <cell r="H180">
            <v>38406</v>
          </cell>
          <cell r="I180">
            <v>224485</v>
          </cell>
          <cell r="J180">
            <v>3053</v>
          </cell>
          <cell r="K180">
            <v>1211</v>
          </cell>
          <cell r="M180">
            <v>26222</v>
          </cell>
        </row>
        <row r="181">
          <cell r="G181">
            <v>246995</v>
          </cell>
          <cell r="H181">
            <v>33328</v>
          </cell>
          <cell r="I181">
            <v>280323</v>
          </cell>
          <cell r="J181">
            <v>3313</v>
          </cell>
          <cell r="K181">
            <v>1033</v>
          </cell>
          <cell r="M181">
            <v>26504</v>
          </cell>
        </row>
        <row r="182">
          <cell r="G182">
            <v>446697</v>
          </cell>
          <cell r="H182">
            <v>53291</v>
          </cell>
          <cell r="I182">
            <v>499988</v>
          </cell>
          <cell r="J182">
            <v>4754</v>
          </cell>
          <cell r="K182">
            <v>1213</v>
          </cell>
          <cell r="M182">
            <v>30245</v>
          </cell>
        </row>
        <row r="183">
          <cell r="G183">
            <v>621095</v>
          </cell>
          <cell r="H183">
            <v>83232</v>
          </cell>
          <cell r="I183">
            <v>704327</v>
          </cell>
          <cell r="J183">
            <v>5549</v>
          </cell>
          <cell r="K183">
            <v>1335</v>
          </cell>
          <cell r="M183">
            <v>30444</v>
          </cell>
        </row>
        <row r="184">
          <cell r="G184">
            <v>675913</v>
          </cell>
          <cell r="H184">
            <v>117302</v>
          </cell>
          <cell r="I184">
            <v>793215</v>
          </cell>
          <cell r="J184">
            <v>6001</v>
          </cell>
          <cell r="K184">
            <v>1598</v>
          </cell>
          <cell r="M184">
            <v>32879</v>
          </cell>
        </row>
        <row r="185">
          <cell r="G185">
            <v>796015</v>
          </cell>
          <cell r="H185">
            <v>156703</v>
          </cell>
          <cell r="I185">
            <v>952718</v>
          </cell>
          <cell r="J185">
            <v>6681</v>
          </cell>
          <cell r="K185">
            <v>1864</v>
          </cell>
          <cell r="M185">
            <v>32546</v>
          </cell>
        </row>
        <row r="186">
          <cell r="G186">
            <v>893688</v>
          </cell>
          <cell r="H186">
            <v>182123</v>
          </cell>
          <cell r="I186">
            <v>1075811</v>
          </cell>
          <cell r="J186">
            <v>7756</v>
          </cell>
          <cell r="K186">
            <v>1770</v>
          </cell>
          <cell r="M186">
            <v>26993</v>
          </cell>
        </row>
        <row r="187">
          <cell r="G187">
            <v>1042560</v>
          </cell>
          <cell r="H187">
            <v>246387</v>
          </cell>
          <cell r="I187">
            <v>1288947</v>
          </cell>
          <cell r="J187">
            <v>8391</v>
          </cell>
          <cell r="K187">
            <v>2037</v>
          </cell>
          <cell r="M187">
            <v>29264</v>
          </cell>
        </row>
        <row r="188">
          <cell r="G188">
            <v>1520275</v>
          </cell>
          <cell r="H188">
            <v>551723</v>
          </cell>
          <cell r="J188">
            <v>12109</v>
          </cell>
          <cell r="K188">
            <v>3352</v>
          </cell>
          <cell r="M188">
            <v>27961</v>
          </cell>
        </row>
        <row r="189">
          <cell r="G189">
            <v>1420072</v>
          </cell>
          <cell r="H189">
            <v>450337</v>
          </cell>
          <cell r="J189">
            <v>11244</v>
          </cell>
          <cell r="K189">
            <v>3059</v>
          </cell>
          <cell r="M189">
            <v>27562</v>
          </cell>
        </row>
        <row r="190">
          <cell r="G190">
            <v>838903</v>
          </cell>
          <cell r="H190">
            <v>204260</v>
          </cell>
          <cell r="J190">
            <v>8445</v>
          </cell>
          <cell r="K190">
            <v>1886</v>
          </cell>
          <cell r="M190">
            <v>24564</v>
          </cell>
        </row>
        <row r="191">
          <cell r="G191">
            <v>694</v>
          </cell>
          <cell r="H191">
            <v>4765</v>
          </cell>
          <cell r="J191">
            <v>200</v>
          </cell>
          <cell r="K191">
            <v>244</v>
          </cell>
          <cell r="M191">
            <v>5042</v>
          </cell>
        </row>
        <row r="192">
          <cell r="G192">
            <v>23002</v>
          </cell>
          <cell r="H192">
            <v>5750</v>
          </cell>
          <cell r="J192">
            <v>637</v>
          </cell>
          <cell r="K192">
            <v>410</v>
          </cell>
          <cell r="M192">
            <v>11463</v>
          </cell>
        </row>
        <row r="193">
          <cell r="G193">
            <v>145372</v>
          </cell>
          <cell r="H193">
            <v>10464</v>
          </cell>
          <cell r="J193">
            <v>2107</v>
          </cell>
          <cell r="K193">
            <v>581</v>
          </cell>
          <cell r="M193">
            <v>16643</v>
          </cell>
        </row>
        <row r="194">
          <cell r="G194">
            <v>163820</v>
          </cell>
          <cell r="H194">
            <v>17656</v>
          </cell>
          <cell r="J194">
            <v>2317</v>
          </cell>
          <cell r="K194">
            <v>712</v>
          </cell>
          <cell r="M194">
            <v>20337</v>
          </cell>
        </row>
        <row r="195">
          <cell r="G195">
            <v>232851</v>
          </cell>
          <cell r="H195">
            <v>19918</v>
          </cell>
          <cell r="J195">
            <v>2705</v>
          </cell>
          <cell r="K195">
            <v>884</v>
          </cell>
          <cell r="M195">
            <v>23454</v>
          </cell>
        </row>
        <row r="196">
          <cell r="G196">
            <v>358607</v>
          </cell>
          <cell r="H196">
            <v>29812</v>
          </cell>
          <cell r="J196">
            <v>3914</v>
          </cell>
          <cell r="K196">
            <v>929</v>
          </cell>
          <cell r="M196">
            <v>28044</v>
          </cell>
        </row>
        <row r="197">
          <cell r="G197">
            <v>472342</v>
          </cell>
          <cell r="H197">
            <v>45091</v>
          </cell>
          <cell r="J197">
            <v>5103</v>
          </cell>
          <cell r="K197">
            <v>1080</v>
          </cell>
          <cell r="M197">
            <v>30228</v>
          </cell>
        </row>
        <row r="198">
          <cell r="G198">
            <v>556703</v>
          </cell>
          <cell r="H198">
            <v>65866</v>
          </cell>
          <cell r="J198">
            <v>5928</v>
          </cell>
          <cell r="K198">
            <v>1197</v>
          </cell>
          <cell r="M198">
            <v>28851</v>
          </cell>
        </row>
        <row r="199">
          <cell r="G199">
            <v>673556</v>
          </cell>
          <cell r="H199">
            <v>94926</v>
          </cell>
          <cell r="J199">
            <v>7181</v>
          </cell>
          <cell r="K199">
            <v>1508</v>
          </cell>
          <cell r="M199">
            <v>32127</v>
          </cell>
        </row>
        <row r="200">
          <cell r="G200">
            <v>1468050</v>
          </cell>
          <cell r="H200">
            <v>529541</v>
          </cell>
          <cell r="J200">
            <v>11983</v>
          </cell>
          <cell r="K200">
            <v>3294</v>
          </cell>
          <cell r="M200">
            <v>29541</v>
          </cell>
        </row>
        <row r="201">
          <cell r="G201">
            <v>1368146</v>
          </cell>
          <cell r="H201">
            <v>453137</v>
          </cell>
          <cell r="J201">
            <v>10507</v>
          </cell>
          <cell r="K201">
            <v>2943</v>
          </cell>
          <cell r="M201">
            <v>29485</v>
          </cell>
        </row>
        <row r="202">
          <cell r="G202">
            <v>1248693</v>
          </cell>
          <cell r="H202">
            <v>471000</v>
          </cell>
          <cell r="J202">
            <v>10738</v>
          </cell>
          <cell r="K202">
            <v>3315</v>
          </cell>
          <cell r="M202">
            <v>36787</v>
          </cell>
        </row>
        <row r="203">
          <cell r="G203">
            <v>1236864</v>
          </cell>
          <cell r="H203">
            <v>478441</v>
          </cell>
          <cell r="J203">
            <v>10074</v>
          </cell>
          <cell r="K203">
            <v>3166</v>
          </cell>
          <cell r="M203">
            <v>31881</v>
          </cell>
        </row>
        <row r="204">
          <cell r="G204">
            <v>1412599</v>
          </cell>
          <cell r="H204">
            <v>525806</v>
          </cell>
          <cell r="J204">
            <v>10686</v>
          </cell>
          <cell r="K204">
            <v>3257</v>
          </cell>
          <cell r="M204">
            <v>24168</v>
          </cell>
        </row>
        <row r="205">
          <cell r="G205">
            <v>1400670</v>
          </cell>
          <cell r="H205">
            <v>506471</v>
          </cell>
          <cell r="J205">
            <v>10714</v>
          </cell>
          <cell r="K205">
            <v>3152</v>
          </cell>
          <cell r="M205">
            <v>30085</v>
          </cell>
        </row>
        <row r="206">
          <cell r="G206">
            <v>1428539</v>
          </cell>
          <cell r="H206">
            <v>530637</v>
          </cell>
          <cell r="J206">
            <v>10829</v>
          </cell>
          <cell r="K206">
            <v>3335</v>
          </cell>
          <cell r="M206">
            <v>31909</v>
          </cell>
        </row>
        <row r="207">
          <cell r="G207">
            <v>1421479</v>
          </cell>
          <cell r="H207">
            <v>531194</v>
          </cell>
          <cell r="J207">
            <v>10888</v>
          </cell>
          <cell r="K207">
            <v>3417</v>
          </cell>
          <cell r="M207">
            <v>30215</v>
          </cell>
        </row>
        <row r="208">
          <cell r="G208">
            <v>1374679</v>
          </cell>
          <cell r="H208">
            <v>478442</v>
          </cell>
          <cell r="J208">
            <v>10687</v>
          </cell>
          <cell r="K208">
            <v>3218</v>
          </cell>
          <cell r="M208">
            <v>29279</v>
          </cell>
        </row>
        <row r="209">
          <cell r="G209">
            <v>1379897</v>
          </cell>
          <cell r="H209">
            <v>491974</v>
          </cell>
          <cell r="J209">
            <v>11348</v>
          </cell>
          <cell r="K209">
            <v>3306</v>
          </cell>
          <cell r="M209">
            <v>30667</v>
          </cell>
        </row>
        <row r="210">
          <cell r="G210">
            <v>1487523</v>
          </cell>
          <cell r="H210">
            <v>499479</v>
          </cell>
          <cell r="J210">
            <v>11337</v>
          </cell>
          <cell r="K210">
            <v>3272</v>
          </cell>
          <cell r="M210">
            <v>29574</v>
          </cell>
        </row>
        <row r="211">
          <cell r="G211">
            <v>1545835</v>
          </cell>
          <cell r="H211">
            <v>550623</v>
          </cell>
          <cell r="J211">
            <v>11853</v>
          </cell>
          <cell r="K211">
            <v>3348</v>
          </cell>
          <cell r="M211">
            <v>30147</v>
          </cell>
        </row>
        <row r="212">
          <cell r="G212">
            <v>1381653</v>
          </cell>
          <cell r="H212">
            <v>516797</v>
          </cell>
          <cell r="J212">
            <v>10745</v>
          </cell>
          <cell r="K212">
            <v>3297</v>
          </cell>
          <cell r="M212">
            <v>32252</v>
          </cell>
        </row>
        <row r="213">
          <cell r="G213">
            <v>1288017</v>
          </cell>
          <cell r="H213">
            <v>438646</v>
          </cell>
          <cell r="J213">
            <v>10047</v>
          </cell>
          <cell r="K213">
            <v>3003</v>
          </cell>
          <cell r="M213">
            <v>32267</v>
          </cell>
        </row>
        <row r="214">
          <cell r="G214">
            <v>1386793</v>
          </cell>
          <cell r="H214">
            <v>469537</v>
          </cell>
          <cell r="J214">
            <v>11578</v>
          </cell>
          <cell r="K214">
            <v>3414</v>
          </cell>
          <cell r="M214">
            <v>38785</v>
          </cell>
        </row>
        <row r="215">
          <cell r="G215">
            <v>1354180</v>
          </cell>
          <cell r="H215">
            <v>475351</v>
          </cell>
          <cell r="J215">
            <v>11046</v>
          </cell>
          <cell r="K215">
            <v>3239</v>
          </cell>
          <cell r="M215">
            <v>34726</v>
          </cell>
        </row>
        <row r="216">
          <cell r="G216">
            <v>1468773</v>
          </cell>
          <cell r="H216">
            <v>544384</v>
          </cell>
          <cell r="J216">
            <v>11872</v>
          </cell>
          <cell r="K216">
            <v>3385</v>
          </cell>
          <cell r="M216">
            <v>27035</v>
          </cell>
        </row>
        <row r="217">
          <cell r="G217">
            <v>1331082</v>
          </cell>
          <cell r="H217">
            <v>492632</v>
          </cell>
          <cell r="J217">
            <v>11752</v>
          </cell>
          <cell r="K217">
            <v>3207</v>
          </cell>
          <cell r="M217">
            <v>35816</v>
          </cell>
        </row>
        <row r="218">
          <cell r="G218">
            <v>1422726</v>
          </cell>
          <cell r="H218">
            <v>515017</v>
          </cell>
          <cell r="J218">
            <v>11402</v>
          </cell>
          <cell r="K218">
            <v>3362</v>
          </cell>
          <cell r="M218">
            <v>37670</v>
          </cell>
        </row>
        <row r="219">
          <cell r="G219">
            <v>1364769</v>
          </cell>
          <cell r="H219">
            <v>517067</v>
          </cell>
          <cell r="J219">
            <v>11543</v>
          </cell>
          <cell r="K219">
            <v>3337</v>
          </cell>
          <cell r="M219">
            <v>36981</v>
          </cell>
        </row>
        <row r="220">
          <cell r="G220">
            <v>1384777</v>
          </cell>
          <cell r="H220">
            <v>460469</v>
          </cell>
          <cell r="J220">
            <v>11543</v>
          </cell>
          <cell r="K220">
            <v>3337</v>
          </cell>
          <cell r="M220">
            <v>35412</v>
          </cell>
        </row>
        <row r="221">
          <cell r="G221">
            <v>1408338</v>
          </cell>
          <cell r="H221">
            <v>471179</v>
          </cell>
          <cell r="J221">
            <v>12491</v>
          </cell>
          <cell r="K221">
            <v>3293</v>
          </cell>
          <cell r="M221">
            <v>36549</v>
          </cell>
        </row>
        <row r="222">
          <cell r="G222">
            <v>1294069</v>
          </cell>
          <cell r="H222">
            <v>483671</v>
          </cell>
          <cell r="J222">
            <v>11752</v>
          </cell>
          <cell r="K222">
            <v>3263</v>
          </cell>
          <cell r="M222">
            <v>31222</v>
          </cell>
        </row>
        <row r="223">
          <cell r="G223">
            <v>1487727</v>
          </cell>
          <cell r="H223">
            <v>529044</v>
          </cell>
          <cell r="J223">
            <v>12065</v>
          </cell>
          <cell r="K223">
            <v>3358</v>
          </cell>
          <cell r="M223">
            <v>31360</v>
          </cell>
        </row>
        <row r="224">
          <cell r="G224">
            <v>1239920</v>
          </cell>
          <cell r="H224">
            <v>466952</v>
          </cell>
          <cell r="J224">
            <v>9786</v>
          </cell>
          <cell r="K224">
            <v>3036</v>
          </cell>
          <cell r="M224">
            <v>27786</v>
          </cell>
        </row>
        <row r="225">
          <cell r="G225">
            <v>1055267</v>
          </cell>
          <cell r="H225">
            <v>385000</v>
          </cell>
          <cell r="J225">
            <v>8875</v>
          </cell>
          <cell r="K225">
            <v>2655</v>
          </cell>
          <cell r="M225">
            <v>28734</v>
          </cell>
        </row>
        <row r="226">
          <cell r="G226">
            <v>1161219</v>
          </cell>
          <cell r="H226">
            <v>411041</v>
          </cell>
          <cell r="J226">
            <v>11578</v>
          </cell>
          <cell r="K226">
            <v>3414</v>
          </cell>
          <cell r="M226">
            <v>36730</v>
          </cell>
        </row>
        <row r="227">
          <cell r="G227">
            <v>1187664</v>
          </cell>
          <cell r="H227">
            <v>426148</v>
          </cell>
          <cell r="J227">
            <v>9294</v>
          </cell>
          <cell r="K227">
            <v>2927</v>
          </cell>
          <cell r="M227">
            <v>24366</v>
          </cell>
        </row>
        <row r="228">
          <cell r="G228">
            <v>1281038</v>
          </cell>
          <cell r="H228">
            <v>492385</v>
          </cell>
          <cell r="J228">
            <v>9585</v>
          </cell>
          <cell r="K228">
            <v>3057</v>
          </cell>
          <cell r="M228">
            <v>34433</v>
          </cell>
        </row>
        <row r="229">
          <cell r="G229">
            <v>1155771</v>
          </cell>
          <cell r="H229">
            <v>452055</v>
          </cell>
          <cell r="J229">
            <v>8964</v>
          </cell>
          <cell r="K229">
            <v>2985</v>
          </cell>
          <cell r="M229">
            <v>35569</v>
          </cell>
        </row>
        <row r="230">
          <cell r="G230">
            <v>1172430</v>
          </cell>
          <cell r="H230">
            <v>461503</v>
          </cell>
          <cell r="J230">
            <v>9186</v>
          </cell>
          <cell r="K230">
            <v>3123</v>
          </cell>
          <cell r="M230">
            <v>37461</v>
          </cell>
        </row>
        <row r="231">
          <cell r="G231">
            <v>1112549</v>
          </cell>
          <cell r="H231">
            <v>472427</v>
          </cell>
          <cell r="J231">
            <v>8927</v>
          </cell>
          <cell r="K231">
            <v>3174</v>
          </cell>
          <cell r="M231">
            <v>36184</v>
          </cell>
        </row>
        <row r="232">
          <cell r="G232">
            <v>1178322</v>
          </cell>
          <cell r="H232">
            <v>436463</v>
          </cell>
          <cell r="J232">
            <v>9181</v>
          </cell>
          <cell r="K232">
            <v>3178</v>
          </cell>
          <cell r="M232">
            <v>35528</v>
          </cell>
        </row>
        <row r="233">
          <cell r="G233">
            <v>1171079</v>
          </cell>
          <cell r="H233">
            <v>434605</v>
          </cell>
          <cell r="J233">
            <v>12491</v>
          </cell>
          <cell r="K233">
            <v>3293</v>
          </cell>
          <cell r="M233">
            <v>35133</v>
          </cell>
        </row>
        <row r="234">
          <cell r="G234">
            <v>1211049</v>
          </cell>
          <cell r="H234">
            <v>419797</v>
          </cell>
          <cell r="J234">
            <v>9605</v>
          </cell>
          <cell r="K234">
            <v>3158</v>
          </cell>
          <cell r="M234">
            <v>34579</v>
          </cell>
        </row>
        <row r="235">
          <cell r="G235">
            <v>1313452</v>
          </cell>
          <cell r="H235">
            <v>501302</v>
          </cell>
          <cell r="J235">
            <v>10310</v>
          </cell>
          <cell r="K235">
            <v>3269</v>
          </cell>
          <cell r="M235">
            <v>33060</v>
          </cell>
        </row>
        <row r="236">
          <cell r="G236">
            <v>937924</v>
          </cell>
          <cell r="H236">
            <v>458063</v>
          </cell>
          <cell r="J236">
            <v>8182</v>
          </cell>
          <cell r="K236">
            <v>3128</v>
          </cell>
          <cell r="M236">
            <v>23894</v>
          </cell>
        </row>
        <row r="237">
          <cell r="G237">
            <v>921892</v>
          </cell>
          <cell r="H237">
            <v>389620</v>
          </cell>
          <cell r="J237">
            <v>7710</v>
          </cell>
          <cell r="K237">
            <v>2930</v>
          </cell>
          <cell r="M237">
            <v>26142</v>
          </cell>
        </row>
        <row r="238">
          <cell r="G238">
            <v>971769</v>
          </cell>
          <cell r="H238">
            <v>411291</v>
          </cell>
          <cell r="J238">
            <v>8468</v>
          </cell>
          <cell r="K238">
            <v>3158</v>
          </cell>
          <cell r="M238">
            <v>31691</v>
          </cell>
        </row>
        <row r="239">
          <cell r="G239">
            <v>989577</v>
          </cell>
          <cell r="H239">
            <v>412670</v>
          </cell>
          <cell r="J239">
            <v>8505</v>
          </cell>
          <cell r="K239">
            <v>3077</v>
          </cell>
          <cell r="M239">
            <v>21284</v>
          </cell>
        </row>
        <row r="240">
          <cell r="G240">
            <v>1095535</v>
          </cell>
          <cell r="H240">
            <v>467331</v>
          </cell>
          <cell r="J240">
            <v>9013</v>
          </cell>
          <cell r="K240">
            <v>3131</v>
          </cell>
          <cell r="M240">
            <v>28732</v>
          </cell>
        </row>
        <row r="241">
          <cell r="G241">
            <v>1003191</v>
          </cell>
          <cell r="H241">
            <v>439719</v>
          </cell>
          <cell r="J241">
            <v>8940</v>
          </cell>
          <cell r="K241">
            <v>3034</v>
          </cell>
          <cell r="M241">
            <v>29977</v>
          </cell>
        </row>
        <row r="242">
          <cell r="G242">
            <v>1119084</v>
          </cell>
          <cell r="H242">
            <v>458842</v>
          </cell>
          <cell r="J242">
            <v>9186</v>
          </cell>
          <cell r="K242">
            <v>3123</v>
          </cell>
          <cell r="M242">
            <v>31699</v>
          </cell>
        </row>
        <row r="243">
          <cell r="G243">
            <v>1098344</v>
          </cell>
          <cell r="H243">
            <v>454847</v>
          </cell>
          <cell r="J243">
            <v>9165</v>
          </cell>
          <cell r="K243">
            <v>3116</v>
          </cell>
          <cell r="M243">
            <v>30299</v>
          </cell>
        </row>
        <row r="244">
          <cell r="G244">
            <v>1081196</v>
          </cell>
          <cell r="H244">
            <v>423565</v>
          </cell>
          <cell r="J244">
            <v>8995</v>
          </cell>
          <cell r="K244">
            <v>3029</v>
          </cell>
          <cell r="M244">
            <v>29990</v>
          </cell>
        </row>
        <row r="245">
          <cell r="G245">
            <v>1084052</v>
          </cell>
          <cell r="H245">
            <v>414642</v>
          </cell>
          <cell r="J245">
            <v>9709</v>
          </cell>
          <cell r="K245">
            <v>3127</v>
          </cell>
          <cell r="M245">
            <v>31489</v>
          </cell>
        </row>
        <row r="246">
          <cell r="G246">
            <v>1121760</v>
          </cell>
          <cell r="H246">
            <v>413521</v>
          </cell>
          <cell r="J246">
            <v>9691</v>
          </cell>
          <cell r="K246">
            <v>2961</v>
          </cell>
          <cell r="M246">
            <v>28440</v>
          </cell>
        </row>
        <row r="247">
          <cell r="G247">
            <v>1104822</v>
          </cell>
          <cell r="J247">
            <v>9522</v>
          </cell>
          <cell r="K247">
            <v>3099</v>
          </cell>
          <cell r="M247">
            <v>26908</v>
          </cell>
        </row>
        <row r="248">
          <cell r="G248">
            <v>857197</v>
          </cell>
          <cell r="H248">
            <v>443716</v>
          </cell>
          <cell r="J248">
            <v>7296</v>
          </cell>
          <cell r="K248">
            <v>2910</v>
          </cell>
          <cell r="M248">
            <v>22397</v>
          </cell>
        </row>
        <row r="249">
          <cell r="G249">
            <v>780480</v>
          </cell>
          <cell r="H249">
            <v>363698</v>
          </cell>
          <cell r="J249">
            <v>6480</v>
          </cell>
          <cell r="K249">
            <v>2651</v>
          </cell>
          <cell r="M249">
            <v>23863</v>
          </cell>
        </row>
        <row r="250">
          <cell r="G250">
            <v>824352</v>
          </cell>
          <cell r="H250">
            <v>385300</v>
          </cell>
          <cell r="J250">
            <v>7005</v>
          </cell>
          <cell r="K250">
            <v>2887</v>
          </cell>
          <cell r="M250">
            <v>27885</v>
          </cell>
        </row>
        <row r="251">
          <cell r="G251">
            <v>843560</v>
          </cell>
          <cell r="H251">
            <v>387734</v>
          </cell>
          <cell r="J251">
            <v>6929</v>
          </cell>
          <cell r="K251">
            <v>2844</v>
          </cell>
          <cell r="M251">
            <v>25117</v>
          </cell>
        </row>
        <row r="252">
          <cell r="G252">
            <v>913382</v>
          </cell>
          <cell r="H252">
            <v>453955</v>
          </cell>
          <cell r="J252">
            <v>7389</v>
          </cell>
          <cell r="K252">
            <v>3010</v>
          </cell>
          <cell r="M252">
            <v>25802</v>
          </cell>
        </row>
        <row r="253">
          <cell r="G253">
            <v>808419</v>
          </cell>
          <cell r="H253">
            <v>431386</v>
          </cell>
          <cell r="J253">
            <v>7140</v>
          </cell>
          <cell r="K253">
            <v>2872</v>
          </cell>
          <cell r="M253">
            <v>27115</v>
          </cell>
        </row>
        <row r="254">
          <cell r="G254">
            <v>834565</v>
          </cell>
          <cell r="H254">
            <v>415916</v>
          </cell>
          <cell r="J254">
            <v>7330</v>
          </cell>
          <cell r="K254">
            <v>2985</v>
          </cell>
          <cell r="M254">
            <v>27708</v>
          </cell>
        </row>
        <row r="255">
          <cell r="G255">
            <v>862049</v>
          </cell>
          <cell r="H255">
            <v>431502</v>
          </cell>
          <cell r="J255">
            <v>7495</v>
          </cell>
          <cell r="K255">
            <v>3060</v>
          </cell>
          <cell r="M255">
            <v>26568</v>
          </cell>
        </row>
        <row r="256">
          <cell r="G256">
            <v>840426</v>
          </cell>
          <cell r="H256">
            <v>391190</v>
          </cell>
          <cell r="J256">
            <v>7303</v>
          </cell>
          <cell r="K256">
            <v>3005</v>
          </cell>
          <cell r="M256">
            <v>26234</v>
          </cell>
        </row>
        <row r="257">
          <cell r="G257">
            <v>849918</v>
          </cell>
          <cell r="H257">
            <v>381223</v>
          </cell>
          <cell r="J257">
            <v>7690</v>
          </cell>
          <cell r="K257">
            <v>3039</v>
          </cell>
          <cell r="M257">
            <v>27382</v>
          </cell>
        </row>
        <row r="258">
          <cell r="G258">
            <v>851041</v>
          </cell>
          <cell r="H258">
            <v>387137</v>
          </cell>
          <cell r="J258">
            <v>7722</v>
          </cell>
          <cell r="K258">
            <v>2947</v>
          </cell>
          <cell r="M258">
            <v>24400</v>
          </cell>
        </row>
        <row r="259">
          <cell r="G259">
            <v>706003</v>
          </cell>
          <cell r="H259">
            <v>338052</v>
          </cell>
          <cell r="J259">
            <v>6409</v>
          </cell>
          <cell r="K259">
            <v>2377</v>
          </cell>
          <cell r="M259">
            <v>23572</v>
          </cell>
        </row>
        <row r="260">
          <cell r="G260">
            <v>4905942</v>
          </cell>
          <cell r="H260">
            <v>1997708</v>
          </cell>
          <cell r="I260">
            <v>6903650</v>
          </cell>
          <cell r="J260">
            <v>29377</v>
          </cell>
          <cell r="K260">
            <v>9969</v>
          </cell>
          <cell r="L260">
            <v>39346</v>
          </cell>
          <cell r="M260">
            <v>92355</v>
          </cell>
        </row>
        <row r="261">
          <cell r="G261">
            <v>4868469</v>
          </cell>
          <cell r="H261">
            <v>1848936</v>
          </cell>
          <cell r="I261">
            <v>6717405</v>
          </cell>
          <cell r="J261">
            <v>28355</v>
          </cell>
          <cell r="K261">
            <v>8815</v>
          </cell>
          <cell r="L261">
            <v>37170</v>
          </cell>
          <cell r="M261">
            <v>82045.399999999994</v>
          </cell>
        </row>
        <row r="262">
          <cell r="G262">
            <v>5081444</v>
          </cell>
          <cell r="H262">
            <v>1934648</v>
          </cell>
          <cell r="I262">
            <v>7016092</v>
          </cell>
          <cell r="J262">
            <v>31472</v>
          </cell>
          <cell r="K262">
            <v>9936</v>
          </cell>
          <cell r="L262">
            <v>41408</v>
          </cell>
          <cell r="M262">
            <v>102063.8</v>
          </cell>
        </row>
        <row r="263">
          <cell r="G263">
            <v>4844140</v>
          </cell>
          <cell r="H263">
            <v>1830153</v>
          </cell>
          <cell r="I263">
            <v>6674293</v>
          </cell>
          <cell r="J263">
            <v>30034</v>
          </cell>
          <cell r="K263">
            <v>9688</v>
          </cell>
          <cell r="L263">
            <v>39722</v>
          </cell>
          <cell r="M263">
            <v>61665.8</v>
          </cell>
        </row>
        <row r="264">
          <cell r="G264">
            <v>4545051</v>
          </cell>
          <cell r="H264">
            <v>1704549</v>
          </cell>
          <cell r="I264">
            <v>6249600</v>
          </cell>
          <cell r="J264">
            <v>29647</v>
          </cell>
          <cell r="K264">
            <v>9789</v>
          </cell>
          <cell r="L264">
            <v>39436</v>
          </cell>
          <cell r="M264">
            <v>93434.8</v>
          </cell>
        </row>
        <row r="265">
          <cell r="G265">
            <v>4456863</v>
          </cell>
          <cell r="H265">
            <v>1705780</v>
          </cell>
          <cell r="I265">
            <v>6162643</v>
          </cell>
          <cell r="J265">
            <v>27864</v>
          </cell>
          <cell r="K265">
            <v>9201</v>
          </cell>
          <cell r="L265">
            <v>37065</v>
          </cell>
          <cell r="M265">
            <v>58352.7</v>
          </cell>
        </row>
        <row r="266">
          <cell r="G266">
            <v>4168711</v>
          </cell>
          <cell r="H266">
            <v>1644470</v>
          </cell>
          <cell r="I266">
            <v>5813181</v>
          </cell>
          <cell r="J266">
            <v>9352</v>
          </cell>
          <cell r="K266">
            <v>26949</v>
          </cell>
          <cell r="L266">
            <v>36301</v>
          </cell>
          <cell r="M266">
            <v>95853.2</v>
          </cell>
        </row>
        <row r="267">
          <cell r="G267">
            <v>4259373</v>
          </cell>
          <cell r="H267">
            <v>1665392</v>
          </cell>
          <cell r="I267">
            <v>5924765</v>
          </cell>
          <cell r="J267">
            <v>26619</v>
          </cell>
          <cell r="K267">
            <v>9432</v>
          </cell>
          <cell r="L267">
            <v>36051</v>
          </cell>
          <cell r="M267">
            <v>96237.9</v>
          </cell>
        </row>
        <row r="268">
          <cell r="G268">
            <v>4217307</v>
          </cell>
          <cell r="H268">
            <v>1620005</v>
          </cell>
          <cell r="I268">
            <v>5837312</v>
          </cell>
          <cell r="J268">
            <v>27603</v>
          </cell>
          <cell r="K268">
            <v>9241</v>
          </cell>
          <cell r="L268">
            <v>36844</v>
          </cell>
          <cell r="M268">
            <v>96324</v>
          </cell>
        </row>
        <row r="269">
          <cell r="G269">
            <v>4470290</v>
          </cell>
          <cell r="H269">
            <v>1824422</v>
          </cell>
          <cell r="J269">
            <v>26923</v>
          </cell>
          <cell r="K269">
            <v>9534</v>
          </cell>
          <cell r="M269">
            <v>82963.3</v>
          </cell>
        </row>
        <row r="270">
          <cell r="G270">
            <v>4544293</v>
          </cell>
          <cell r="H270">
            <v>1730554</v>
          </cell>
          <cell r="J270">
            <v>27543</v>
          </cell>
          <cell r="K270">
            <v>8860</v>
          </cell>
          <cell r="M270">
            <v>85630.5</v>
          </cell>
        </row>
        <row r="271">
          <cell r="G271">
            <v>4793183</v>
          </cell>
          <cell r="H271">
            <v>1835349</v>
          </cell>
          <cell r="J271">
            <v>29529</v>
          </cell>
          <cell r="K271">
            <v>9617</v>
          </cell>
          <cell r="M271">
            <v>102888.1</v>
          </cell>
        </row>
        <row r="272">
          <cell r="G272">
            <v>4639501</v>
          </cell>
          <cell r="H272">
            <v>1642961</v>
          </cell>
          <cell r="J272">
            <v>28412</v>
          </cell>
          <cell r="K272">
            <v>9031</v>
          </cell>
          <cell r="M272">
            <v>82894.600000000006</v>
          </cell>
        </row>
        <row r="273">
          <cell r="G273">
            <v>4859862</v>
          </cell>
          <cell r="H273">
            <v>1684119</v>
          </cell>
          <cell r="J273">
            <v>29766</v>
          </cell>
          <cell r="K273">
            <v>9390</v>
          </cell>
          <cell r="M273">
            <v>90578</v>
          </cell>
        </row>
        <row r="274">
          <cell r="G274">
            <v>4731824</v>
          </cell>
          <cell r="H274">
            <v>1758498</v>
          </cell>
          <cell r="J274">
            <v>29305</v>
          </cell>
          <cell r="K274">
            <v>9323</v>
          </cell>
          <cell r="M274">
            <v>90111.1</v>
          </cell>
        </row>
        <row r="275">
          <cell r="G275">
            <v>4664147</v>
          </cell>
          <cell r="H275">
            <v>1719616</v>
          </cell>
          <cell r="J275">
            <v>29296</v>
          </cell>
          <cell r="K275">
            <v>9615</v>
          </cell>
          <cell r="M275">
            <v>91937.2</v>
          </cell>
        </row>
        <row r="276">
          <cell r="G276">
            <v>4665894</v>
          </cell>
          <cell r="H276">
            <v>1726541</v>
          </cell>
          <cell r="J276">
            <v>29778</v>
          </cell>
          <cell r="K276">
            <v>9702</v>
          </cell>
          <cell r="M276">
            <v>94179.5</v>
          </cell>
        </row>
        <row r="277">
          <cell r="G277">
            <v>4546417</v>
          </cell>
          <cell r="H277">
            <v>1686367</v>
          </cell>
          <cell r="J277">
            <v>28849</v>
          </cell>
          <cell r="K277">
            <v>9498</v>
          </cell>
          <cell r="M277">
            <v>100015</v>
          </cell>
        </row>
        <row r="278">
          <cell r="G278">
            <v>4686620</v>
          </cell>
          <cell r="H278">
            <v>1755742</v>
          </cell>
          <cell r="J278">
            <v>30353</v>
          </cell>
          <cell r="K278">
            <v>9790</v>
          </cell>
          <cell r="M278">
            <v>101756.9</v>
          </cell>
        </row>
        <row r="279">
          <cell r="G279">
            <v>4935825</v>
          </cell>
          <cell r="H279">
            <v>1853089</v>
          </cell>
          <cell r="J279">
            <v>29157</v>
          </cell>
          <cell r="K279">
            <v>9415</v>
          </cell>
          <cell r="M279">
            <v>87829.3</v>
          </cell>
        </row>
        <row r="280">
          <cell r="G280">
            <v>5111968</v>
          </cell>
          <cell r="H280">
            <v>1953752</v>
          </cell>
          <cell r="J280">
            <v>30340</v>
          </cell>
          <cell r="K280">
            <v>9878</v>
          </cell>
          <cell r="M280">
            <v>93753.9</v>
          </cell>
        </row>
        <row r="281">
          <cell r="G281">
            <v>4351399</v>
          </cell>
          <cell r="H281">
            <v>1494790</v>
          </cell>
          <cell r="J281">
            <v>28695</v>
          </cell>
          <cell r="K281">
            <v>8425</v>
          </cell>
          <cell r="M281" t="str">
            <v>68,98</v>
          </cell>
        </row>
        <row r="282">
          <cell r="G282">
            <v>4362813</v>
          </cell>
          <cell r="H282">
            <v>1398974</v>
          </cell>
          <cell r="J282">
            <v>27040</v>
          </cell>
          <cell r="K282">
            <v>7578</v>
          </cell>
          <cell r="M282">
            <v>68961</v>
          </cell>
        </row>
        <row r="283">
          <cell r="G283">
            <v>4629192</v>
          </cell>
          <cell r="H283">
            <v>1502056</v>
          </cell>
          <cell r="J283">
            <v>29493</v>
          </cell>
          <cell r="K283">
            <v>8371</v>
          </cell>
          <cell r="M283">
            <v>81086</v>
          </cell>
        </row>
        <row r="284">
          <cell r="G284">
            <v>4626211</v>
          </cell>
          <cell r="H284">
            <v>1387092</v>
          </cell>
          <cell r="J284">
            <v>28926</v>
          </cell>
          <cell r="K284">
            <v>8348</v>
          </cell>
          <cell r="M284">
            <v>75862</v>
          </cell>
        </row>
        <row r="285">
          <cell r="G285">
            <v>4623474</v>
          </cell>
          <cell r="H285">
            <v>1448917</v>
          </cell>
          <cell r="J285">
            <v>28076</v>
          </cell>
          <cell r="K285">
            <v>8406</v>
          </cell>
          <cell r="M285">
            <v>77543</v>
          </cell>
        </row>
        <row r="286">
          <cell r="G286">
            <v>4374813</v>
          </cell>
          <cell r="H286">
            <v>1549813</v>
          </cell>
          <cell r="J286">
            <v>26825</v>
          </cell>
          <cell r="K286">
            <v>8210</v>
          </cell>
          <cell r="M286">
            <v>76452</v>
          </cell>
        </row>
        <row r="287">
          <cell r="G287">
            <v>4374813</v>
          </cell>
          <cell r="H287">
            <v>1549813</v>
          </cell>
          <cell r="J287">
            <v>28077</v>
          </cell>
          <cell r="K287">
            <v>8575</v>
          </cell>
          <cell r="M287">
            <v>81143</v>
          </cell>
        </row>
        <row r="288">
          <cell r="G288">
            <v>4429389</v>
          </cell>
          <cell r="H288">
            <v>1509599</v>
          </cell>
          <cell r="J288">
            <v>28403</v>
          </cell>
          <cell r="K288">
            <v>8617</v>
          </cell>
          <cell r="M288">
            <v>84289</v>
          </cell>
        </row>
        <row r="289">
          <cell r="G289">
            <v>4306691</v>
          </cell>
          <cell r="H289">
            <v>1495657</v>
          </cell>
          <cell r="J289">
            <v>27146</v>
          </cell>
          <cell r="K289">
            <v>8487</v>
          </cell>
          <cell r="M289">
            <v>83203</v>
          </cell>
        </row>
        <row r="290">
          <cell r="G290">
            <v>4454004</v>
          </cell>
          <cell r="H290">
            <v>1631392</v>
          </cell>
          <cell r="J290">
            <v>28741</v>
          </cell>
          <cell r="K290">
            <v>9075</v>
          </cell>
          <cell r="M290">
            <v>88953</v>
          </cell>
        </row>
        <row r="291">
          <cell r="G291">
            <v>4395834</v>
          </cell>
          <cell r="H291">
            <v>1678481</v>
          </cell>
          <cell r="J291">
            <v>27427</v>
          </cell>
          <cell r="K291">
            <v>9109</v>
          </cell>
          <cell r="M291">
            <v>79807</v>
          </cell>
        </row>
        <row r="292">
          <cell r="G292">
            <v>4771352</v>
          </cell>
          <cell r="J292">
            <v>28475</v>
          </cell>
          <cell r="K292">
            <v>9559</v>
          </cell>
          <cell r="M292">
            <v>84572</v>
          </cell>
        </row>
        <row r="293">
          <cell r="G293">
            <v>2326723</v>
          </cell>
          <cell r="H293">
            <v>709889</v>
          </cell>
          <cell r="J293">
            <v>21267</v>
          </cell>
          <cell r="K293">
            <v>5848</v>
          </cell>
          <cell r="M293">
            <v>73740</v>
          </cell>
        </row>
        <row r="294">
          <cell r="G294">
            <v>3066121</v>
          </cell>
          <cell r="H294">
            <v>722431</v>
          </cell>
          <cell r="J294">
            <v>21109</v>
          </cell>
          <cell r="K294">
            <v>5067</v>
          </cell>
          <cell r="M294">
            <v>67631</v>
          </cell>
        </row>
        <row r="295">
          <cell r="G295">
            <v>4092573</v>
          </cell>
          <cell r="H295">
            <v>983728</v>
          </cell>
          <cell r="J295">
            <v>28644</v>
          </cell>
          <cell r="K295">
            <v>6198</v>
          </cell>
          <cell r="M295">
            <v>80461</v>
          </cell>
        </row>
        <row r="296">
          <cell r="G296">
            <v>3938635</v>
          </cell>
          <cell r="H296">
            <v>986357</v>
          </cell>
          <cell r="J296">
            <v>28333</v>
          </cell>
          <cell r="K296">
            <v>6100</v>
          </cell>
          <cell r="M296">
            <v>78415</v>
          </cell>
        </row>
        <row r="297">
          <cell r="G297">
            <v>4180313</v>
          </cell>
          <cell r="H297">
            <v>1058652</v>
          </cell>
          <cell r="J297">
            <v>29384</v>
          </cell>
          <cell r="K297">
            <v>6688</v>
          </cell>
          <cell r="M297">
            <v>74536</v>
          </cell>
        </row>
        <row r="298">
          <cell r="G298">
            <v>3942863</v>
          </cell>
          <cell r="H298">
            <v>1183182</v>
          </cell>
          <cell r="J298">
            <v>28633</v>
          </cell>
          <cell r="K298">
            <v>6891</v>
          </cell>
          <cell r="M298">
            <v>72959</v>
          </cell>
        </row>
        <row r="299">
          <cell r="G299">
            <v>3656638</v>
          </cell>
          <cell r="H299">
            <v>1251424</v>
          </cell>
          <cell r="J299">
            <v>27393</v>
          </cell>
          <cell r="K299">
            <v>7322</v>
          </cell>
          <cell r="M299">
            <v>76821</v>
          </cell>
        </row>
        <row r="300">
          <cell r="G300">
            <v>3772891</v>
          </cell>
          <cell r="H300">
            <v>1235120</v>
          </cell>
          <cell r="J300">
            <v>27536</v>
          </cell>
          <cell r="K300">
            <v>7476</v>
          </cell>
          <cell r="M300">
            <v>73806</v>
          </cell>
        </row>
        <row r="301">
          <cell r="G301">
            <v>3834968</v>
          </cell>
          <cell r="H301">
            <v>1236553</v>
          </cell>
          <cell r="J301">
            <v>26825</v>
          </cell>
          <cell r="K301">
            <v>7427</v>
          </cell>
          <cell r="M301">
            <v>80046</v>
          </cell>
        </row>
        <row r="302">
          <cell r="G302">
            <v>4125687</v>
          </cell>
          <cell r="H302">
            <v>1340041</v>
          </cell>
          <cell r="J302">
            <v>28405</v>
          </cell>
          <cell r="K302">
            <v>7732</v>
          </cell>
          <cell r="M302">
            <v>74562</v>
          </cell>
        </row>
        <row r="303">
          <cell r="G303">
            <v>4273252</v>
          </cell>
          <cell r="H303">
            <v>1421474</v>
          </cell>
          <cell r="J303">
            <v>27905</v>
          </cell>
          <cell r="K303">
            <v>8247</v>
          </cell>
          <cell r="M303">
            <v>72498</v>
          </cell>
        </row>
        <row r="304">
          <cell r="G304">
            <v>4606839</v>
          </cell>
          <cell r="H304">
            <v>1543720</v>
          </cell>
          <cell r="J304">
            <v>29380</v>
          </cell>
          <cell r="K304">
            <v>8685</v>
          </cell>
          <cell r="M304">
            <v>73241</v>
          </cell>
        </row>
        <row r="305">
          <cell r="G305">
            <v>2625361</v>
          </cell>
          <cell r="H305">
            <v>444282</v>
          </cell>
          <cell r="J305">
            <v>22584</v>
          </cell>
          <cell r="K305">
            <v>4536</v>
          </cell>
          <cell r="M305">
            <v>72122</v>
          </cell>
        </row>
        <row r="306">
          <cell r="G306">
            <v>2779837</v>
          </cell>
          <cell r="H306">
            <v>439274</v>
          </cell>
          <cell r="J306">
            <v>21885</v>
          </cell>
          <cell r="K306">
            <v>4398</v>
          </cell>
          <cell r="M306">
            <v>70830</v>
          </cell>
        </row>
        <row r="307">
          <cell r="G307">
            <v>2910096</v>
          </cell>
          <cell r="H307">
            <v>502574</v>
          </cell>
          <cell r="J307">
            <v>24691</v>
          </cell>
          <cell r="K307">
            <v>4914</v>
          </cell>
          <cell r="M307">
            <v>80815</v>
          </cell>
        </row>
        <row r="308">
          <cell r="G308">
            <v>2215429</v>
          </cell>
          <cell r="H308">
            <v>421817</v>
          </cell>
          <cell r="J308">
            <v>21760</v>
          </cell>
          <cell r="K308">
            <v>4437</v>
          </cell>
          <cell r="M308">
            <v>76889</v>
          </cell>
        </row>
        <row r="309">
          <cell r="G309">
            <v>815436</v>
          </cell>
          <cell r="H309">
            <v>165924</v>
          </cell>
          <cell r="J309">
            <v>11013</v>
          </cell>
          <cell r="K309">
            <v>3667</v>
          </cell>
          <cell r="M309">
            <v>75994</v>
          </cell>
        </row>
        <row r="310">
          <cell r="G310">
            <v>1329225</v>
          </cell>
          <cell r="H310">
            <v>177432</v>
          </cell>
          <cell r="J310">
            <v>12735</v>
          </cell>
          <cell r="K310">
            <v>3000</v>
          </cell>
          <cell r="M310">
            <v>72481</v>
          </cell>
        </row>
        <row r="311">
          <cell r="G311">
            <v>2029166</v>
          </cell>
          <cell r="H311">
            <v>266533</v>
          </cell>
          <cell r="J311">
            <v>17444</v>
          </cell>
          <cell r="K311">
            <v>3434</v>
          </cell>
          <cell r="M311">
            <v>75499</v>
          </cell>
        </row>
        <row r="312">
          <cell r="G312">
            <v>2621461</v>
          </cell>
          <cell r="H312">
            <v>398722</v>
          </cell>
          <cell r="J312">
            <v>20837</v>
          </cell>
          <cell r="K312">
            <v>4137</v>
          </cell>
          <cell r="M312">
            <v>76158</v>
          </cell>
        </row>
        <row r="313">
          <cell r="G313">
            <v>2758977</v>
          </cell>
          <cell r="H313">
            <v>461495</v>
          </cell>
          <cell r="J313">
            <v>22219</v>
          </cell>
          <cell r="K313">
            <v>4553</v>
          </cell>
          <cell r="M313">
            <v>79017</v>
          </cell>
        </row>
        <row r="314">
          <cell r="G314">
            <v>3419061</v>
          </cell>
          <cell r="H314">
            <v>646268</v>
          </cell>
          <cell r="J314">
            <v>25890</v>
          </cell>
          <cell r="K314">
            <v>5417</v>
          </cell>
          <cell r="M314">
            <v>89836</v>
          </cell>
        </row>
        <row r="315">
          <cell r="G315">
            <v>3975521</v>
          </cell>
          <cell r="H315">
            <v>724784</v>
          </cell>
          <cell r="J315">
            <v>29038</v>
          </cell>
          <cell r="K315">
            <v>5270</v>
          </cell>
          <cell r="M315">
            <v>75093</v>
          </cell>
        </row>
        <row r="316">
          <cell r="G316">
            <v>4168700</v>
          </cell>
          <cell r="H316">
            <v>842582</v>
          </cell>
          <cell r="J316">
            <v>30745</v>
          </cell>
          <cell r="K316">
            <v>5844</v>
          </cell>
          <cell r="M316">
            <v>81544</v>
          </cell>
        </row>
        <row r="317">
          <cell r="G317">
            <v>4350167</v>
          </cell>
          <cell r="H317">
            <v>1749594</v>
          </cell>
          <cell r="J317">
            <v>29925</v>
          </cell>
          <cell r="K317">
            <v>10469</v>
          </cell>
          <cell r="M317">
            <v>80021</v>
          </cell>
        </row>
        <row r="318">
          <cell r="G318">
            <v>4470541</v>
          </cell>
          <cell r="H318">
            <v>1522616</v>
          </cell>
          <cell r="J318">
            <v>29564</v>
          </cell>
          <cell r="K318">
            <v>9430</v>
          </cell>
          <cell r="M318">
            <v>75061</v>
          </cell>
        </row>
        <row r="319">
          <cell r="G319">
            <v>2755968</v>
          </cell>
          <cell r="H319">
            <v>769347</v>
          </cell>
          <cell r="J319">
            <v>22172</v>
          </cell>
          <cell r="K319">
            <v>5984</v>
          </cell>
          <cell r="M319">
            <v>59910</v>
          </cell>
        </row>
        <row r="320">
          <cell r="G320">
            <v>1110</v>
          </cell>
          <cell r="H320">
            <v>19514</v>
          </cell>
          <cell r="J320">
            <v>377</v>
          </cell>
          <cell r="K320">
            <v>688</v>
          </cell>
          <cell r="M320">
            <v>10153</v>
          </cell>
        </row>
        <row r="321">
          <cell r="G321">
            <v>154973</v>
          </cell>
          <cell r="H321">
            <v>40212</v>
          </cell>
          <cell r="J321">
            <v>2426</v>
          </cell>
          <cell r="K321">
            <v>1253</v>
          </cell>
          <cell r="M321">
            <v>26077</v>
          </cell>
        </row>
        <row r="322">
          <cell r="G322">
            <v>882773</v>
          </cell>
          <cell r="H322">
            <v>132756</v>
          </cell>
          <cell r="J322">
            <v>9335</v>
          </cell>
          <cell r="K322">
            <v>2312</v>
          </cell>
          <cell r="M322">
            <v>48611</v>
          </cell>
        </row>
        <row r="323">
          <cell r="G323">
            <v>866898</v>
          </cell>
          <cell r="H323">
            <v>193007</v>
          </cell>
          <cell r="J323">
            <v>9674</v>
          </cell>
          <cell r="K323">
            <v>3163</v>
          </cell>
          <cell r="M323">
            <v>60246</v>
          </cell>
        </row>
        <row r="324">
          <cell r="G324">
            <v>1134822</v>
          </cell>
          <cell r="H324">
            <v>228313</v>
          </cell>
          <cell r="J324">
            <v>11362</v>
          </cell>
          <cell r="K324">
            <v>3299</v>
          </cell>
          <cell r="M324">
            <v>65486</v>
          </cell>
        </row>
        <row r="325">
          <cell r="G325">
            <v>1445598</v>
          </cell>
          <cell r="H325">
            <v>230963</v>
          </cell>
          <cell r="J325">
            <v>14156</v>
          </cell>
          <cell r="K325">
            <v>3574</v>
          </cell>
          <cell r="M325">
            <v>76991</v>
          </cell>
        </row>
        <row r="326">
          <cell r="G326">
            <v>1876535</v>
          </cell>
          <cell r="H326">
            <v>263493</v>
          </cell>
          <cell r="J326">
            <v>17354</v>
          </cell>
          <cell r="K326">
            <v>3737</v>
          </cell>
          <cell r="M326">
            <v>81001</v>
          </cell>
        </row>
        <row r="327">
          <cell r="G327">
            <v>2190546</v>
          </cell>
          <cell r="H327">
            <v>313863</v>
          </cell>
          <cell r="J327">
            <v>18549</v>
          </cell>
          <cell r="K327">
            <v>3808</v>
          </cell>
          <cell r="M327">
            <v>71904</v>
          </cell>
        </row>
        <row r="328">
          <cell r="G328">
            <v>2507954</v>
          </cell>
          <cell r="H328">
            <v>398982</v>
          </cell>
          <cell r="J328">
            <v>21702</v>
          </cell>
          <cell r="K328">
            <v>4209</v>
          </cell>
          <cell r="M328">
            <v>73195</v>
          </cell>
        </row>
        <row r="329">
          <cell r="G329">
            <v>4206828</v>
          </cell>
          <cell r="H329">
            <v>1743774</v>
          </cell>
          <cell r="J329">
            <v>28210</v>
          </cell>
          <cell r="K329">
            <v>10226</v>
          </cell>
          <cell r="M329">
            <v>86340</v>
          </cell>
        </row>
        <row r="330">
          <cell r="G330">
            <v>3826998</v>
          </cell>
          <cell r="H330">
            <v>1549335</v>
          </cell>
          <cell r="J330">
            <v>25361</v>
          </cell>
          <cell r="K330">
            <v>8974</v>
          </cell>
          <cell r="M330">
            <v>81002</v>
          </cell>
        </row>
        <row r="331">
          <cell r="G331">
            <v>3889794</v>
          </cell>
          <cell r="H331">
            <v>1591219</v>
          </cell>
          <cell r="J331">
            <v>27081</v>
          </cell>
          <cell r="K331">
            <v>9127</v>
          </cell>
          <cell r="M331">
            <v>90427</v>
          </cell>
        </row>
        <row r="332">
          <cell r="G332">
            <v>3581007</v>
          </cell>
          <cell r="H332">
            <v>1387500</v>
          </cell>
          <cell r="J332">
            <v>25888</v>
          </cell>
          <cell r="K332">
            <v>8202</v>
          </cell>
          <cell r="M332">
            <v>80379</v>
          </cell>
        </row>
        <row r="333">
          <cell r="G333">
            <v>3857847</v>
          </cell>
          <cell r="H333">
            <v>1422564</v>
          </cell>
          <cell r="J333">
            <v>27638</v>
          </cell>
          <cell r="K333">
            <v>8417</v>
          </cell>
          <cell r="M333">
            <v>53305</v>
          </cell>
        </row>
        <row r="334">
          <cell r="G334">
            <v>4032767</v>
          </cell>
          <cell r="H334">
            <v>1469224</v>
          </cell>
          <cell r="J334">
            <v>27985</v>
          </cell>
          <cell r="K334">
            <v>8373</v>
          </cell>
          <cell r="M334">
            <v>77830</v>
          </cell>
        </row>
        <row r="335">
          <cell r="G335">
            <v>4337904</v>
          </cell>
          <cell r="H335">
            <v>1468071</v>
          </cell>
          <cell r="J335">
            <v>28586</v>
          </cell>
          <cell r="K335">
            <v>9124</v>
          </cell>
          <cell r="M335">
            <v>84977</v>
          </cell>
        </row>
        <row r="336">
          <cell r="G336">
            <v>4277039</v>
          </cell>
          <cell r="H336">
            <v>1501098</v>
          </cell>
          <cell r="J336">
            <v>29030</v>
          </cell>
          <cell r="K336">
            <v>9587</v>
          </cell>
          <cell r="M336">
            <v>83741</v>
          </cell>
        </row>
        <row r="337">
          <cell r="G337">
            <v>4225477</v>
          </cell>
          <cell r="H337">
            <v>1475367</v>
          </cell>
          <cell r="J337">
            <v>28677</v>
          </cell>
          <cell r="K337">
            <v>9566</v>
          </cell>
          <cell r="M337">
            <v>82220</v>
          </cell>
        </row>
        <row r="338">
          <cell r="G338">
            <v>4421886</v>
          </cell>
          <cell r="H338">
            <v>1588742</v>
          </cell>
          <cell r="J338">
            <v>30660</v>
          </cell>
          <cell r="K338">
            <v>10156</v>
          </cell>
          <cell r="M338">
            <v>85851</v>
          </cell>
        </row>
        <row r="339">
          <cell r="G339">
            <v>4636673</v>
          </cell>
          <cell r="H339">
            <v>1691087</v>
          </cell>
          <cell r="J339">
            <v>29959</v>
          </cell>
          <cell r="K339">
            <v>10048</v>
          </cell>
          <cell r="M339">
            <v>80007</v>
          </cell>
        </row>
        <row r="340">
          <cell r="G340">
            <v>4522659</v>
          </cell>
          <cell r="H340">
            <v>1785871</v>
          </cell>
          <cell r="J340">
            <v>30059</v>
          </cell>
          <cell r="K340">
            <v>10513</v>
          </cell>
          <cell r="M340">
            <v>81624</v>
          </cell>
        </row>
        <row r="341">
          <cell r="G341">
            <v>4238135</v>
          </cell>
          <cell r="H341">
            <v>1611647</v>
          </cell>
          <cell r="J341">
            <v>28317</v>
          </cell>
          <cell r="K341">
            <v>9597</v>
          </cell>
          <cell r="M341">
            <v>77412</v>
          </cell>
        </row>
        <row r="342">
          <cell r="G342">
            <v>4065409</v>
          </cell>
          <cell r="H342">
            <v>1477564</v>
          </cell>
          <cell r="J342">
            <v>26550</v>
          </cell>
          <cell r="K342">
            <v>8669</v>
          </cell>
          <cell r="M342">
            <v>73504</v>
          </cell>
        </row>
        <row r="343">
          <cell r="G343">
            <v>4434031</v>
          </cell>
          <cell r="H343">
            <v>1614292</v>
          </cell>
          <cell r="J343">
            <v>29832</v>
          </cell>
          <cell r="K343">
            <v>9572</v>
          </cell>
          <cell r="M343">
            <v>81579</v>
          </cell>
        </row>
        <row r="344">
          <cell r="G344">
            <v>4383869</v>
          </cell>
          <cell r="H344">
            <v>1479995</v>
          </cell>
          <cell r="J344">
            <v>29372</v>
          </cell>
          <cell r="K344">
            <v>9264</v>
          </cell>
          <cell r="M344">
            <v>80064</v>
          </cell>
        </row>
        <row r="345">
          <cell r="G345">
            <v>4420077</v>
          </cell>
          <cell r="H345">
            <v>1480289</v>
          </cell>
          <cell r="J345">
            <v>30318</v>
          </cell>
          <cell r="K345">
            <v>9644</v>
          </cell>
          <cell r="M345">
            <v>56835</v>
          </cell>
        </row>
        <row r="346">
          <cell r="G346">
            <v>4276157</v>
          </cell>
          <cell r="H346">
            <v>1541052</v>
          </cell>
          <cell r="J346">
            <v>29328</v>
          </cell>
          <cell r="K346">
            <v>9330</v>
          </cell>
          <cell r="M346">
            <v>82833</v>
          </cell>
        </row>
        <row r="347">
          <cell r="G347">
            <v>4351957</v>
          </cell>
          <cell r="H347">
            <v>1534003</v>
          </cell>
          <cell r="J347">
            <v>29527</v>
          </cell>
          <cell r="K347">
            <v>9819</v>
          </cell>
          <cell r="M347">
            <v>84061</v>
          </cell>
        </row>
        <row r="348">
          <cell r="G348">
            <v>4283128</v>
          </cell>
          <cell r="H348">
            <v>1513018</v>
          </cell>
          <cell r="J348">
            <v>30113</v>
          </cell>
          <cell r="K348">
            <v>9578</v>
          </cell>
          <cell r="M348">
            <v>86797</v>
          </cell>
        </row>
        <row r="349">
          <cell r="G349">
            <v>4174874</v>
          </cell>
          <cell r="H349">
            <v>1466284</v>
          </cell>
          <cell r="J349">
            <v>28912</v>
          </cell>
          <cell r="K349">
            <v>9452</v>
          </cell>
          <cell r="M349">
            <v>90318</v>
          </cell>
        </row>
        <row r="350">
          <cell r="G350">
            <v>4303012</v>
          </cell>
          <cell r="H350">
            <v>1525496</v>
          </cell>
          <cell r="J350">
            <v>30436</v>
          </cell>
          <cell r="K350">
            <v>9605</v>
          </cell>
          <cell r="M350">
            <v>100091</v>
          </cell>
        </row>
        <row r="351">
          <cell r="G351">
            <v>4037360</v>
          </cell>
          <cell r="H351">
            <v>1566997</v>
          </cell>
          <cell r="J351">
            <v>27783</v>
          </cell>
          <cell r="K351">
            <v>9491</v>
          </cell>
          <cell r="M351">
            <v>85665</v>
          </cell>
        </row>
        <row r="352">
          <cell r="G352">
            <v>4370713</v>
          </cell>
          <cell r="H352">
            <v>1717635</v>
          </cell>
          <cell r="J352">
            <v>29280</v>
          </cell>
          <cell r="K352">
            <v>10198</v>
          </cell>
          <cell r="M352">
            <v>88271</v>
          </cell>
        </row>
        <row r="353">
          <cell r="G353">
            <v>3751564</v>
          </cell>
          <cell r="H353">
            <v>1445919</v>
          </cell>
          <cell r="J353">
            <v>24870</v>
          </cell>
          <cell r="K353">
            <v>8730</v>
          </cell>
          <cell r="M353">
            <v>70702</v>
          </cell>
        </row>
        <row r="354">
          <cell r="G354">
            <v>3486137</v>
          </cell>
          <cell r="H354">
            <v>1331333</v>
          </cell>
          <cell r="J354">
            <v>23313</v>
          </cell>
          <cell r="K354">
            <v>7988</v>
          </cell>
          <cell r="M354">
            <v>68127</v>
          </cell>
        </row>
        <row r="355">
          <cell r="G355">
            <v>3737036</v>
          </cell>
          <cell r="H355">
            <v>1448930</v>
          </cell>
          <cell r="J355">
            <v>29832</v>
          </cell>
          <cell r="K355">
            <v>9572</v>
          </cell>
          <cell r="M355">
            <v>82932</v>
          </cell>
        </row>
        <row r="356">
          <cell r="G356">
            <v>37110715</v>
          </cell>
          <cell r="H356">
            <v>1309169</v>
          </cell>
          <cell r="J356">
            <v>26071</v>
          </cell>
          <cell r="K356">
            <v>8613</v>
          </cell>
          <cell r="M356">
            <v>55131</v>
          </cell>
        </row>
        <row r="357">
          <cell r="G357">
            <v>4097748</v>
          </cell>
          <cell r="H357">
            <v>1333573</v>
          </cell>
          <cell r="J357">
            <v>27792</v>
          </cell>
          <cell r="K357">
            <v>8894</v>
          </cell>
          <cell r="M357">
            <v>83450</v>
          </cell>
        </row>
        <row r="358">
          <cell r="G358">
            <v>3882652</v>
          </cell>
          <cell r="H358">
            <v>1368068</v>
          </cell>
          <cell r="J358">
            <v>26965</v>
          </cell>
          <cell r="K358">
            <v>2985</v>
          </cell>
          <cell r="M358">
            <v>79084</v>
          </cell>
        </row>
        <row r="359">
          <cell r="G359">
            <v>3787827</v>
          </cell>
          <cell r="H359">
            <v>1379979</v>
          </cell>
          <cell r="J359">
            <v>27129</v>
          </cell>
          <cell r="K359">
            <v>9020</v>
          </cell>
          <cell r="M359">
            <v>77090</v>
          </cell>
        </row>
        <row r="360">
          <cell r="G360">
            <v>3814545</v>
          </cell>
          <cell r="H360">
            <v>1384606</v>
          </cell>
          <cell r="J360">
            <v>27556</v>
          </cell>
          <cell r="K360">
            <v>9113</v>
          </cell>
          <cell r="M360">
            <v>81509</v>
          </cell>
        </row>
        <row r="361">
          <cell r="G361">
            <v>3748037</v>
          </cell>
          <cell r="H361">
            <v>1347647</v>
          </cell>
          <cell r="J361">
            <v>26914</v>
          </cell>
          <cell r="K361">
            <v>8973</v>
          </cell>
          <cell r="M361">
            <v>84900</v>
          </cell>
        </row>
        <row r="362">
          <cell r="G362">
            <v>4155542</v>
          </cell>
          <cell r="H362">
            <v>1436803</v>
          </cell>
          <cell r="J362">
            <v>30436</v>
          </cell>
          <cell r="K362">
            <v>9605</v>
          </cell>
          <cell r="M362">
            <v>83469</v>
          </cell>
        </row>
        <row r="363">
          <cell r="G363">
            <v>4042207</v>
          </cell>
          <cell r="H363">
            <v>1504277</v>
          </cell>
          <cell r="J363">
            <v>27127</v>
          </cell>
          <cell r="K363">
            <v>9108</v>
          </cell>
          <cell r="M363">
            <v>80951</v>
          </cell>
        </row>
        <row r="364">
          <cell r="G364">
            <v>4331354</v>
          </cell>
          <cell r="H364">
            <v>1615835</v>
          </cell>
          <cell r="J364">
            <v>28945</v>
          </cell>
          <cell r="K364">
            <v>9597</v>
          </cell>
          <cell r="M364">
            <v>81089</v>
          </cell>
        </row>
        <row r="365">
          <cell r="G365">
            <v>2977333</v>
          </cell>
          <cell r="H365">
            <v>1317900</v>
          </cell>
          <cell r="J365">
            <v>21550</v>
          </cell>
          <cell r="K365">
            <v>7760</v>
          </cell>
          <cell r="M365">
            <v>65401</v>
          </cell>
        </row>
        <row r="366">
          <cell r="G366">
            <v>3040618</v>
          </cell>
          <cell r="H366">
            <v>1203662</v>
          </cell>
          <cell r="J366">
            <v>21375</v>
          </cell>
          <cell r="K366">
            <v>7382</v>
          </cell>
          <cell r="M366">
            <v>62738</v>
          </cell>
        </row>
        <row r="367">
          <cell r="G367">
            <v>3270267</v>
          </cell>
          <cell r="H367">
            <v>1329428</v>
          </cell>
          <cell r="J367">
            <v>23502</v>
          </cell>
          <cell r="K367">
            <v>7958</v>
          </cell>
          <cell r="M367">
            <v>69130</v>
          </cell>
        </row>
        <row r="368">
          <cell r="G368">
            <v>3271591</v>
          </cell>
          <cell r="H368">
            <v>1171259</v>
          </cell>
          <cell r="J368">
            <v>23461</v>
          </cell>
          <cell r="K368">
            <v>7812</v>
          </cell>
          <cell r="M368">
            <v>43603</v>
          </cell>
        </row>
        <row r="369">
          <cell r="G369">
            <v>3567065</v>
          </cell>
          <cell r="H369">
            <v>1185394</v>
          </cell>
          <cell r="J369">
            <v>24954</v>
          </cell>
          <cell r="K369">
            <v>8128</v>
          </cell>
          <cell r="M369">
            <v>72151</v>
          </cell>
        </row>
        <row r="370">
          <cell r="G370">
            <v>3347942</v>
          </cell>
          <cell r="H370">
            <v>1223699</v>
          </cell>
          <cell r="J370">
            <v>24557</v>
          </cell>
          <cell r="K370">
            <v>7972</v>
          </cell>
          <cell r="M370">
            <v>70401</v>
          </cell>
        </row>
        <row r="371">
          <cell r="G371">
            <v>3477225</v>
          </cell>
          <cell r="H371">
            <v>1223977</v>
          </cell>
          <cell r="J371">
            <v>27129</v>
          </cell>
          <cell r="K371">
            <v>9020</v>
          </cell>
          <cell r="M371">
            <v>70741</v>
          </cell>
        </row>
        <row r="372">
          <cell r="G372">
            <v>3360871</v>
          </cell>
          <cell r="H372">
            <v>1253000</v>
          </cell>
          <cell r="J372">
            <v>24472</v>
          </cell>
          <cell r="K372">
            <v>8410</v>
          </cell>
          <cell r="M372">
            <v>69621</v>
          </cell>
        </row>
        <row r="373">
          <cell r="G373">
            <v>3358251</v>
          </cell>
          <cell r="H373">
            <v>1219670</v>
          </cell>
          <cell r="J373">
            <v>24265</v>
          </cell>
          <cell r="K373">
            <v>8304</v>
          </cell>
          <cell r="M373">
            <v>70954</v>
          </cell>
        </row>
        <row r="374">
          <cell r="G374">
            <v>3478193</v>
          </cell>
          <cell r="H374">
            <v>1244873</v>
          </cell>
          <cell r="J374">
            <v>25745</v>
          </cell>
          <cell r="K374">
            <v>8472</v>
          </cell>
          <cell r="M374">
            <v>77622</v>
          </cell>
        </row>
        <row r="375">
          <cell r="G375">
            <v>1624668</v>
          </cell>
          <cell r="H375">
            <v>1335652</v>
          </cell>
          <cell r="J375">
            <v>25310</v>
          </cell>
          <cell r="K375">
            <v>8428</v>
          </cell>
          <cell r="M375">
            <v>66844</v>
          </cell>
        </row>
        <row r="376">
          <cell r="G376">
            <v>3745169</v>
          </cell>
          <cell r="H376">
            <v>1413678</v>
          </cell>
          <cell r="J376">
            <v>24952</v>
          </cell>
          <cell r="K376">
            <v>8742</v>
          </cell>
          <cell r="M376">
            <v>71752</v>
          </cell>
        </row>
        <row r="377">
          <cell r="G377">
            <v>2313095</v>
          </cell>
          <cell r="H377">
            <v>1236613</v>
          </cell>
          <cell r="J377">
            <v>16942</v>
          </cell>
          <cell r="K377">
            <v>7265</v>
          </cell>
          <cell r="M377">
            <v>56498</v>
          </cell>
        </row>
        <row r="378">
          <cell r="G378">
            <v>2331085</v>
          </cell>
          <cell r="H378">
            <v>1126563</v>
          </cell>
          <cell r="J378">
            <v>16311</v>
          </cell>
          <cell r="K378">
            <v>6566</v>
          </cell>
          <cell r="M378">
            <v>55169</v>
          </cell>
        </row>
        <row r="379">
          <cell r="G379">
            <v>2466999</v>
          </cell>
          <cell r="H379">
            <v>1212461</v>
          </cell>
          <cell r="J379">
            <v>18913</v>
          </cell>
          <cell r="K379">
            <v>7253</v>
          </cell>
          <cell r="M379">
            <v>58816</v>
          </cell>
        </row>
        <row r="380">
          <cell r="G380">
            <v>2592177</v>
          </cell>
          <cell r="H380">
            <v>1086469</v>
          </cell>
          <cell r="J380">
            <v>19374</v>
          </cell>
          <cell r="K380">
            <v>6977</v>
          </cell>
          <cell r="M380">
            <v>65079</v>
          </cell>
        </row>
        <row r="381">
          <cell r="G381">
            <v>2838921</v>
          </cell>
          <cell r="H381">
            <v>1089558</v>
          </cell>
          <cell r="J381">
            <v>20895</v>
          </cell>
          <cell r="K381">
            <v>7283</v>
          </cell>
          <cell r="M381">
            <v>66080</v>
          </cell>
        </row>
        <row r="382">
          <cell r="G382">
            <v>2732359</v>
          </cell>
          <cell r="H382">
            <v>1117371</v>
          </cell>
          <cell r="J382">
            <v>20586</v>
          </cell>
          <cell r="K382">
            <v>7034</v>
          </cell>
          <cell r="M382">
            <v>63539</v>
          </cell>
        </row>
        <row r="383">
          <cell r="G383">
            <v>2719397</v>
          </cell>
          <cell r="H383">
            <v>1093841</v>
          </cell>
          <cell r="J383">
            <v>21065</v>
          </cell>
          <cell r="K383">
            <v>7316</v>
          </cell>
          <cell r="M383">
            <v>69012</v>
          </cell>
        </row>
        <row r="384">
          <cell r="G384">
            <v>2657192</v>
          </cell>
          <cell r="H384">
            <v>1147503</v>
          </cell>
          <cell r="J384">
            <v>21075</v>
          </cell>
          <cell r="K384">
            <v>7491</v>
          </cell>
          <cell r="M384">
            <v>66217</v>
          </cell>
        </row>
        <row r="385">
          <cell r="G385">
            <v>2617466</v>
          </cell>
          <cell r="H385">
            <v>1071138</v>
          </cell>
          <cell r="J385">
            <v>20543</v>
          </cell>
          <cell r="K385">
            <v>7131</v>
          </cell>
          <cell r="M385">
            <v>64451</v>
          </cell>
        </row>
        <row r="386">
          <cell r="G386">
            <v>2798462</v>
          </cell>
          <cell r="H386">
            <v>1165079</v>
          </cell>
          <cell r="J386">
            <v>21666</v>
          </cell>
          <cell r="K386">
            <v>7651</v>
          </cell>
          <cell r="M386">
            <v>68109</v>
          </cell>
        </row>
        <row r="387">
          <cell r="G387">
            <v>2939518</v>
          </cell>
          <cell r="H387">
            <v>1225410</v>
          </cell>
          <cell r="J387">
            <v>21761</v>
          </cell>
          <cell r="K387">
            <v>7363</v>
          </cell>
          <cell r="M387">
            <v>61557</v>
          </cell>
        </row>
        <row r="388">
          <cell r="G388">
            <v>3088283</v>
          </cell>
          <cell r="H388">
            <v>1314813</v>
          </cell>
          <cell r="J388">
            <v>21646</v>
          </cell>
          <cell r="K388">
            <v>7729</v>
          </cell>
          <cell r="M388">
            <v>65855</v>
          </cell>
        </row>
        <row r="389">
          <cell r="G389">
            <v>2218574</v>
          </cell>
          <cell r="H389">
            <v>424013</v>
          </cell>
          <cell r="I389">
            <v>2642587</v>
          </cell>
          <cell r="J389">
            <v>15271</v>
          </cell>
          <cell r="K389">
            <v>2522</v>
          </cell>
          <cell r="L389">
            <v>17793</v>
          </cell>
          <cell r="M389">
            <v>12789.4</v>
          </cell>
        </row>
        <row r="390">
          <cell r="G390">
            <v>2149629</v>
          </cell>
          <cell r="H390">
            <v>376343</v>
          </cell>
          <cell r="I390">
            <v>2525972</v>
          </cell>
          <cell r="J390">
            <v>14484</v>
          </cell>
          <cell r="K390">
            <v>2429</v>
          </cell>
          <cell r="L390">
            <v>16913</v>
          </cell>
          <cell r="M390">
            <v>12422.2</v>
          </cell>
        </row>
        <row r="391">
          <cell r="G391">
            <v>2179688</v>
          </cell>
          <cell r="H391">
            <v>419637</v>
          </cell>
          <cell r="I391">
            <v>2599325</v>
          </cell>
          <cell r="J391">
            <v>15983</v>
          </cell>
          <cell r="K391">
            <v>2634</v>
          </cell>
          <cell r="L391">
            <v>18617</v>
          </cell>
          <cell r="M391">
            <v>16571</v>
          </cell>
        </row>
        <row r="392">
          <cell r="G392">
            <v>2225782</v>
          </cell>
          <cell r="H392">
            <v>423792</v>
          </cell>
          <cell r="I392">
            <v>2649574</v>
          </cell>
          <cell r="J392">
            <v>15695</v>
          </cell>
          <cell r="K392">
            <v>2590</v>
          </cell>
          <cell r="L392">
            <v>18285</v>
          </cell>
          <cell r="M392">
            <v>7676.1</v>
          </cell>
        </row>
        <row r="393">
          <cell r="G393">
            <v>2338851</v>
          </cell>
          <cell r="H393">
            <v>452243</v>
          </cell>
          <cell r="I393">
            <v>2791094</v>
          </cell>
          <cell r="J393">
            <v>16375</v>
          </cell>
          <cell r="K393">
            <v>2626</v>
          </cell>
          <cell r="L393">
            <v>19001</v>
          </cell>
          <cell r="M393">
            <v>14012.3</v>
          </cell>
        </row>
        <row r="394">
          <cell r="G394">
            <v>2183315</v>
          </cell>
          <cell r="H394">
            <v>442592</v>
          </cell>
          <cell r="I394">
            <v>2625907</v>
          </cell>
          <cell r="J394">
            <v>15685</v>
          </cell>
          <cell r="K394">
            <v>2648</v>
          </cell>
          <cell r="L394">
            <v>18333</v>
          </cell>
          <cell r="M394">
            <v>14474.5</v>
          </cell>
        </row>
        <row r="395">
          <cell r="G395">
            <v>1980692</v>
          </cell>
          <cell r="H395">
            <v>478105</v>
          </cell>
          <cell r="I395">
            <v>2458797</v>
          </cell>
          <cell r="J395">
            <v>2847</v>
          </cell>
          <cell r="K395">
            <v>14398</v>
          </cell>
          <cell r="L395">
            <v>17245</v>
          </cell>
          <cell r="M395">
            <v>15032.9</v>
          </cell>
        </row>
        <row r="396">
          <cell r="G396">
            <v>2005921</v>
          </cell>
          <cell r="H396">
            <v>464341</v>
          </cell>
          <cell r="I396">
            <v>2470262</v>
          </cell>
          <cell r="J396">
            <v>14411</v>
          </cell>
          <cell r="K396">
            <v>2834</v>
          </cell>
          <cell r="L396">
            <v>17245</v>
          </cell>
          <cell r="M396">
            <v>13747.8</v>
          </cell>
        </row>
        <row r="397">
          <cell r="G397">
            <v>1930239</v>
          </cell>
          <cell r="H397">
            <v>456132</v>
          </cell>
          <cell r="I397">
            <v>2386371</v>
          </cell>
          <cell r="J397">
            <v>14219</v>
          </cell>
          <cell r="K397">
            <v>2708</v>
          </cell>
          <cell r="L397">
            <v>16927</v>
          </cell>
          <cell r="M397">
            <v>16757.099999999999</v>
          </cell>
        </row>
        <row r="398">
          <cell r="G398">
            <v>1797754</v>
          </cell>
          <cell r="H398">
            <v>383155</v>
          </cell>
          <cell r="J398">
            <v>12879</v>
          </cell>
          <cell r="K398">
            <v>2429</v>
          </cell>
          <cell r="M398">
            <v>12190.4</v>
          </cell>
        </row>
        <row r="399">
          <cell r="G399">
            <v>1733988</v>
          </cell>
          <cell r="H399">
            <v>343301</v>
          </cell>
          <cell r="J399">
            <v>12379</v>
          </cell>
          <cell r="K399">
            <v>2338</v>
          </cell>
          <cell r="M399">
            <v>12753</v>
          </cell>
        </row>
        <row r="400">
          <cell r="G400">
            <v>1854571</v>
          </cell>
          <cell r="H400">
            <v>361586</v>
          </cell>
          <cell r="J400">
            <v>13628</v>
          </cell>
          <cell r="K400">
            <v>2526</v>
          </cell>
          <cell r="M400">
            <v>14234</v>
          </cell>
        </row>
        <row r="401">
          <cell r="G401">
            <v>1834338</v>
          </cell>
          <cell r="H401">
            <v>361589</v>
          </cell>
          <cell r="J401">
            <v>13497</v>
          </cell>
          <cell r="K401">
            <v>2377</v>
          </cell>
          <cell r="M401">
            <v>12516.9</v>
          </cell>
        </row>
        <row r="402">
          <cell r="G402">
            <v>1984196</v>
          </cell>
          <cell r="H402">
            <v>406722</v>
          </cell>
          <cell r="J402">
            <v>13610</v>
          </cell>
          <cell r="K402">
            <v>2487</v>
          </cell>
          <cell r="M402">
            <v>14151.1</v>
          </cell>
        </row>
        <row r="403">
          <cell r="G403">
            <v>1846043</v>
          </cell>
          <cell r="H403">
            <v>376790</v>
          </cell>
          <cell r="J403">
            <v>13007</v>
          </cell>
          <cell r="K403">
            <v>2479</v>
          </cell>
          <cell r="M403">
            <v>14081.7</v>
          </cell>
        </row>
        <row r="404">
          <cell r="G404">
            <v>1864202</v>
          </cell>
          <cell r="H404">
            <v>402007</v>
          </cell>
          <cell r="J404">
            <v>13545</v>
          </cell>
          <cell r="K404">
            <v>2666</v>
          </cell>
          <cell r="M404">
            <v>15657.1</v>
          </cell>
        </row>
        <row r="405">
          <cell r="G405">
            <v>1944710</v>
          </cell>
          <cell r="H405">
            <v>384943</v>
          </cell>
          <cell r="J405">
            <v>13892</v>
          </cell>
          <cell r="K405">
            <v>2577</v>
          </cell>
          <cell r="M405">
            <v>13567.5</v>
          </cell>
        </row>
        <row r="406">
          <cell r="G406">
            <v>1908300</v>
          </cell>
          <cell r="H406">
            <v>352128</v>
          </cell>
          <cell r="J406">
            <v>13991</v>
          </cell>
          <cell r="K406">
            <v>2464</v>
          </cell>
          <cell r="M406">
            <v>13893.8</v>
          </cell>
        </row>
        <row r="407">
          <cell r="G407">
            <v>2095641</v>
          </cell>
          <cell r="H407">
            <v>399264</v>
          </cell>
          <cell r="J407">
            <v>15242</v>
          </cell>
          <cell r="K407">
            <v>2556</v>
          </cell>
          <cell r="M407">
            <v>15105.4</v>
          </cell>
        </row>
        <row r="408">
          <cell r="G408">
            <v>2129692</v>
          </cell>
          <cell r="H408">
            <v>401790</v>
          </cell>
          <cell r="J408">
            <v>14463</v>
          </cell>
          <cell r="K408">
            <v>2467</v>
          </cell>
          <cell r="M408">
            <v>13324.8</v>
          </cell>
        </row>
        <row r="409">
          <cell r="G409">
            <v>2279186</v>
          </cell>
          <cell r="H409">
            <v>425807</v>
          </cell>
          <cell r="J409">
            <v>15232</v>
          </cell>
          <cell r="K409">
            <v>2520</v>
          </cell>
          <cell r="M409">
            <v>13584.5</v>
          </cell>
        </row>
        <row r="410">
          <cell r="G410">
            <v>1577560</v>
          </cell>
          <cell r="H410">
            <v>335572</v>
          </cell>
          <cell r="J410">
            <v>11754</v>
          </cell>
          <cell r="K410">
            <v>2011</v>
          </cell>
          <cell r="M410" t="str">
            <v>10,68</v>
          </cell>
        </row>
        <row r="411">
          <cell r="G411">
            <v>1536387</v>
          </cell>
          <cell r="H411">
            <v>288427</v>
          </cell>
          <cell r="J411">
            <v>11333</v>
          </cell>
          <cell r="K411">
            <v>1833</v>
          </cell>
          <cell r="M411">
            <v>11565</v>
          </cell>
        </row>
        <row r="412">
          <cell r="G412">
            <v>1664904</v>
          </cell>
          <cell r="H412">
            <v>304385</v>
          </cell>
          <cell r="J412">
            <v>12801</v>
          </cell>
          <cell r="K412">
            <v>2113</v>
          </cell>
          <cell r="M412">
            <v>12680</v>
          </cell>
        </row>
        <row r="413">
          <cell r="G413">
            <v>1714972</v>
          </cell>
          <cell r="H413">
            <v>299682</v>
          </cell>
          <cell r="J413">
            <v>12082</v>
          </cell>
          <cell r="K413">
            <v>2176</v>
          </cell>
          <cell r="M413">
            <v>11408</v>
          </cell>
        </row>
        <row r="414">
          <cell r="G414">
            <v>1806877</v>
          </cell>
          <cell r="H414">
            <v>355874</v>
          </cell>
          <cell r="J414">
            <v>12399</v>
          </cell>
          <cell r="K414">
            <v>2265</v>
          </cell>
          <cell r="M414">
            <v>12129</v>
          </cell>
        </row>
        <row r="415">
          <cell r="G415">
            <v>1640603</v>
          </cell>
          <cell r="H415">
            <v>368693</v>
          </cell>
          <cell r="J415">
            <v>11443</v>
          </cell>
          <cell r="K415">
            <v>2324</v>
          </cell>
          <cell r="M415">
            <v>12510</v>
          </cell>
        </row>
        <row r="416">
          <cell r="G416">
            <v>1640603</v>
          </cell>
          <cell r="H416">
            <v>368693</v>
          </cell>
          <cell r="J416">
            <v>11762</v>
          </cell>
          <cell r="K416">
            <v>2364</v>
          </cell>
          <cell r="M416">
            <v>12182</v>
          </cell>
        </row>
        <row r="417">
          <cell r="G417">
            <v>1697151</v>
          </cell>
          <cell r="H417">
            <v>339177</v>
          </cell>
          <cell r="J417">
            <v>12112</v>
          </cell>
          <cell r="K417">
            <v>2276</v>
          </cell>
          <cell r="M417">
            <v>12714</v>
          </cell>
        </row>
        <row r="418">
          <cell r="G418">
            <v>1656001</v>
          </cell>
          <cell r="H418">
            <v>313567</v>
          </cell>
          <cell r="J418">
            <v>11908</v>
          </cell>
          <cell r="K418">
            <v>2203</v>
          </cell>
          <cell r="M418">
            <v>11744</v>
          </cell>
        </row>
        <row r="419">
          <cell r="G419">
            <v>1707209</v>
          </cell>
          <cell r="H419">
            <v>343308</v>
          </cell>
          <cell r="J419">
            <v>12651</v>
          </cell>
          <cell r="K419">
            <v>2268</v>
          </cell>
          <cell r="M419">
            <v>13614</v>
          </cell>
        </row>
        <row r="420">
          <cell r="G420">
            <v>1680439</v>
          </cell>
          <cell r="H420">
            <v>351607</v>
          </cell>
          <cell r="J420">
            <v>12332</v>
          </cell>
          <cell r="K420">
            <v>2343</v>
          </cell>
          <cell r="M420">
            <v>12025</v>
          </cell>
        </row>
        <row r="421">
          <cell r="G421">
            <v>1850475</v>
          </cell>
          <cell r="H421">
            <v>401320</v>
          </cell>
          <cell r="J421">
            <v>12716</v>
          </cell>
          <cell r="K421">
            <v>2483</v>
          </cell>
          <cell r="M421">
            <v>12308</v>
          </cell>
        </row>
        <row r="422">
          <cell r="G422">
            <v>872772</v>
          </cell>
          <cell r="H422">
            <v>157640</v>
          </cell>
          <cell r="J422">
            <v>8718</v>
          </cell>
          <cell r="K422">
            <v>1427</v>
          </cell>
          <cell r="M422">
            <v>11171</v>
          </cell>
        </row>
        <row r="423">
          <cell r="G423">
            <v>994737</v>
          </cell>
          <cell r="H423">
            <v>144928</v>
          </cell>
          <cell r="J423">
            <v>7745</v>
          </cell>
          <cell r="K423">
            <v>1220</v>
          </cell>
          <cell r="M423">
            <v>11285</v>
          </cell>
        </row>
        <row r="424">
          <cell r="G424">
            <v>1383842</v>
          </cell>
          <cell r="H424">
            <v>199158</v>
          </cell>
          <cell r="J424">
            <v>10870</v>
          </cell>
          <cell r="K424">
            <v>1444</v>
          </cell>
          <cell r="M424">
            <v>13004</v>
          </cell>
        </row>
        <row r="425">
          <cell r="G425">
            <v>1405623</v>
          </cell>
          <cell r="H425">
            <v>219610</v>
          </cell>
          <cell r="J425">
            <v>11515</v>
          </cell>
          <cell r="K425">
            <v>1637</v>
          </cell>
          <cell r="M425">
            <v>12402</v>
          </cell>
        </row>
        <row r="426">
          <cell r="G426">
            <v>1463999</v>
          </cell>
          <cell r="H426">
            <v>260809</v>
          </cell>
          <cell r="J426">
            <v>11915</v>
          </cell>
          <cell r="K426">
            <v>1782</v>
          </cell>
          <cell r="M426">
            <v>12491</v>
          </cell>
        </row>
        <row r="427">
          <cell r="G427">
            <v>1368644</v>
          </cell>
          <cell r="H427">
            <v>277412</v>
          </cell>
          <cell r="J427">
            <v>11287</v>
          </cell>
          <cell r="K427">
            <v>1859</v>
          </cell>
          <cell r="M427">
            <v>12677</v>
          </cell>
        </row>
        <row r="428">
          <cell r="G428">
            <v>1311995</v>
          </cell>
          <cell r="H428">
            <v>289286</v>
          </cell>
          <cell r="J428">
            <v>10724</v>
          </cell>
          <cell r="K428">
            <v>1902</v>
          </cell>
          <cell r="M428">
            <v>12205</v>
          </cell>
        </row>
        <row r="429">
          <cell r="G429">
            <v>1363257</v>
          </cell>
          <cell r="H429">
            <v>277514</v>
          </cell>
          <cell r="J429">
            <v>10744</v>
          </cell>
          <cell r="K429">
            <v>1913</v>
          </cell>
          <cell r="M429">
            <v>11283</v>
          </cell>
        </row>
        <row r="430">
          <cell r="G430">
            <v>1361540</v>
          </cell>
          <cell r="H430">
            <v>264165</v>
          </cell>
          <cell r="J430">
            <v>10606</v>
          </cell>
          <cell r="K430">
            <v>1890</v>
          </cell>
          <cell r="M430">
            <v>11827</v>
          </cell>
        </row>
        <row r="431">
          <cell r="G431">
            <v>1486371</v>
          </cell>
          <cell r="H431">
            <v>280643</v>
          </cell>
          <cell r="J431">
            <v>11235</v>
          </cell>
          <cell r="K431">
            <v>1955</v>
          </cell>
          <cell r="M431">
            <v>11103</v>
          </cell>
        </row>
        <row r="432">
          <cell r="G432">
            <v>1455908</v>
          </cell>
          <cell r="H432">
            <v>290611</v>
          </cell>
          <cell r="J432">
            <v>10552</v>
          </cell>
          <cell r="K432">
            <v>1979</v>
          </cell>
          <cell r="M432">
            <v>11420</v>
          </cell>
        </row>
        <row r="433">
          <cell r="G433">
            <v>1579054</v>
          </cell>
          <cell r="H433">
            <v>332351</v>
          </cell>
          <cell r="J433">
            <v>11324</v>
          </cell>
          <cell r="K433">
            <v>2083</v>
          </cell>
          <cell r="M433">
            <v>12100</v>
          </cell>
        </row>
        <row r="434">
          <cell r="G434">
            <v>1054009</v>
          </cell>
          <cell r="H434">
            <v>90085</v>
          </cell>
          <cell r="J434">
            <v>10301</v>
          </cell>
          <cell r="K434">
            <v>953</v>
          </cell>
          <cell r="M434">
            <v>10716</v>
          </cell>
        </row>
        <row r="435">
          <cell r="G435">
            <v>998198</v>
          </cell>
          <cell r="H435">
            <v>88421</v>
          </cell>
          <cell r="J435">
            <v>9075</v>
          </cell>
          <cell r="K435">
            <v>918</v>
          </cell>
          <cell r="M435">
            <v>10824</v>
          </cell>
        </row>
        <row r="436">
          <cell r="G436">
            <v>995053</v>
          </cell>
          <cell r="H436">
            <v>100558</v>
          </cell>
          <cell r="J436">
            <v>10010</v>
          </cell>
          <cell r="K436">
            <v>949</v>
          </cell>
          <cell r="M436">
            <v>11914</v>
          </cell>
        </row>
        <row r="437">
          <cell r="G437">
            <v>708999</v>
          </cell>
          <cell r="H437">
            <v>92432</v>
          </cell>
          <cell r="J437">
            <v>8301</v>
          </cell>
          <cell r="K437">
            <v>846</v>
          </cell>
          <cell r="M437">
            <v>10611</v>
          </cell>
        </row>
        <row r="438">
          <cell r="G438">
            <v>268893</v>
          </cell>
          <cell r="H438">
            <v>35826</v>
          </cell>
          <cell r="J438">
            <v>4256</v>
          </cell>
          <cell r="K438">
            <v>594</v>
          </cell>
          <cell r="M438">
            <v>10966</v>
          </cell>
        </row>
        <row r="439">
          <cell r="G439">
            <v>392876</v>
          </cell>
          <cell r="H439">
            <v>33601</v>
          </cell>
          <cell r="J439">
            <v>4677</v>
          </cell>
          <cell r="K439">
            <v>555</v>
          </cell>
          <cell r="M439">
            <v>10577</v>
          </cell>
        </row>
        <row r="440">
          <cell r="G440">
            <v>687636</v>
          </cell>
          <cell r="H440">
            <v>54375</v>
          </cell>
          <cell r="J440">
            <v>7439</v>
          </cell>
          <cell r="K440">
            <v>732</v>
          </cell>
          <cell r="M440">
            <v>11709</v>
          </cell>
        </row>
        <row r="441">
          <cell r="G441">
            <v>934676</v>
          </cell>
          <cell r="H441">
            <v>87645</v>
          </cell>
          <cell r="J441">
            <v>8841</v>
          </cell>
          <cell r="K441">
            <v>895</v>
          </cell>
          <cell r="M441">
            <v>11714</v>
          </cell>
        </row>
        <row r="442">
          <cell r="G442">
            <v>911835</v>
          </cell>
          <cell r="H442">
            <v>115100</v>
          </cell>
          <cell r="J442">
            <v>8862</v>
          </cell>
          <cell r="K442">
            <v>1063</v>
          </cell>
          <cell r="M442">
            <v>11896</v>
          </cell>
        </row>
        <row r="443">
          <cell r="G443">
            <v>1155790</v>
          </cell>
          <cell r="H443">
            <v>153039</v>
          </cell>
          <cell r="J443">
            <v>10161</v>
          </cell>
          <cell r="K443">
            <v>1215</v>
          </cell>
          <cell r="M443">
            <v>12727</v>
          </cell>
        </row>
        <row r="444">
          <cell r="G444">
            <v>1285414</v>
          </cell>
          <cell r="H444">
            <v>168922</v>
          </cell>
          <cell r="J444">
            <v>10414</v>
          </cell>
          <cell r="K444">
            <v>1214</v>
          </cell>
          <cell r="M444">
            <v>11813</v>
          </cell>
        </row>
        <row r="445">
          <cell r="G445">
            <v>1402186</v>
          </cell>
          <cell r="H445">
            <v>187474</v>
          </cell>
          <cell r="J445">
            <v>11105</v>
          </cell>
          <cell r="K445">
            <v>1332</v>
          </cell>
          <cell r="M445">
            <v>12602</v>
          </cell>
        </row>
        <row r="446">
          <cell r="G446">
            <v>1608998</v>
          </cell>
          <cell r="H446">
            <v>372329</v>
          </cell>
          <cell r="J446">
            <v>14556</v>
          </cell>
          <cell r="K446">
            <v>2353</v>
          </cell>
          <cell r="M446">
            <v>12196</v>
          </cell>
        </row>
        <row r="447">
          <cell r="G447">
            <v>1503928</v>
          </cell>
          <cell r="H447">
            <v>299000</v>
          </cell>
          <cell r="J447">
            <v>13239</v>
          </cell>
          <cell r="K447">
            <v>2205</v>
          </cell>
          <cell r="M447">
            <v>11849</v>
          </cell>
        </row>
        <row r="448">
          <cell r="G448">
            <v>904745</v>
          </cell>
          <cell r="H448">
            <v>140442</v>
          </cell>
          <cell r="J448">
            <v>10132</v>
          </cell>
          <cell r="K448">
            <v>1256</v>
          </cell>
          <cell r="M448">
            <v>9587</v>
          </cell>
        </row>
        <row r="449">
          <cell r="G449">
            <v>641</v>
          </cell>
          <cell r="H449">
            <v>210</v>
          </cell>
          <cell r="J449">
            <v>91</v>
          </cell>
          <cell r="K449">
            <v>154</v>
          </cell>
          <cell r="M449">
            <v>3459</v>
          </cell>
        </row>
        <row r="450">
          <cell r="G450">
            <v>28180</v>
          </cell>
          <cell r="H450">
            <v>4322</v>
          </cell>
          <cell r="J450">
            <v>516</v>
          </cell>
          <cell r="K450">
            <v>266</v>
          </cell>
          <cell r="M450">
            <v>4779</v>
          </cell>
        </row>
        <row r="451">
          <cell r="G451">
            <v>239837</v>
          </cell>
          <cell r="H451">
            <v>12643</v>
          </cell>
          <cell r="J451">
            <v>3682</v>
          </cell>
          <cell r="K451">
            <v>360</v>
          </cell>
          <cell r="M451">
            <v>7796</v>
          </cell>
        </row>
        <row r="452">
          <cell r="G452">
            <v>288348</v>
          </cell>
          <cell r="H452">
            <v>25426</v>
          </cell>
          <cell r="J452">
            <v>4858</v>
          </cell>
          <cell r="K452">
            <v>487</v>
          </cell>
          <cell r="M452">
            <v>8964</v>
          </cell>
        </row>
        <row r="453">
          <cell r="G453">
            <v>474503</v>
          </cell>
          <cell r="H453">
            <v>25896</v>
          </cell>
          <cell r="J453">
            <v>5731</v>
          </cell>
          <cell r="K453">
            <v>566</v>
          </cell>
          <cell r="M453">
            <v>9821</v>
          </cell>
        </row>
        <row r="454">
          <cell r="G454">
            <v>603824</v>
          </cell>
          <cell r="H454">
            <v>38324</v>
          </cell>
          <cell r="J454">
            <v>7349</v>
          </cell>
          <cell r="K454">
            <v>663</v>
          </cell>
          <cell r="M454">
            <v>10990</v>
          </cell>
        </row>
        <row r="455">
          <cell r="G455">
            <v>755609</v>
          </cell>
          <cell r="H455">
            <v>50627</v>
          </cell>
          <cell r="J455">
            <v>8224</v>
          </cell>
          <cell r="K455">
            <v>721</v>
          </cell>
          <cell r="M455">
            <v>10499</v>
          </cell>
        </row>
        <row r="456">
          <cell r="G456">
            <v>886076</v>
          </cell>
          <cell r="H456">
            <v>62464</v>
          </cell>
          <cell r="J456">
            <v>8529</v>
          </cell>
          <cell r="K456">
            <v>777</v>
          </cell>
          <cell r="M456">
            <v>10189</v>
          </cell>
        </row>
        <row r="457">
          <cell r="G457">
            <v>1033187</v>
          </cell>
          <cell r="H457">
            <v>76353</v>
          </cell>
          <cell r="J457">
            <v>9980</v>
          </cell>
          <cell r="K457">
            <v>853</v>
          </cell>
          <cell r="M457">
            <v>10838</v>
          </cell>
        </row>
        <row r="458">
          <cell r="G458">
            <v>1555455</v>
          </cell>
          <cell r="H458">
            <v>352000</v>
          </cell>
          <cell r="J458">
            <v>13802</v>
          </cell>
          <cell r="K458">
            <v>2184</v>
          </cell>
          <cell r="M458">
            <v>11429</v>
          </cell>
        </row>
        <row r="459">
          <cell r="G459">
            <v>1460094</v>
          </cell>
          <cell r="H459">
            <v>301166</v>
          </cell>
          <cell r="J459">
            <v>12556</v>
          </cell>
          <cell r="K459">
            <v>1927</v>
          </cell>
          <cell r="M459">
            <v>10928</v>
          </cell>
        </row>
        <row r="460">
          <cell r="G460">
            <v>1512239</v>
          </cell>
          <cell r="H460">
            <v>325660</v>
          </cell>
          <cell r="J460">
            <v>13586</v>
          </cell>
          <cell r="K460">
            <v>2118</v>
          </cell>
          <cell r="M460">
            <v>12981</v>
          </cell>
        </row>
        <row r="461">
          <cell r="G461">
            <v>1460332</v>
          </cell>
          <cell r="H461">
            <v>328742</v>
          </cell>
          <cell r="J461">
            <v>12665</v>
          </cell>
          <cell r="K461">
            <v>2086</v>
          </cell>
          <cell r="M461">
            <v>11695</v>
          </cell>
        </row>
        <row r="462">
          <cell r="G462">
            <v>1587978</v>
          </cell>
          <cell r="H462">
            <v>358431</v>
          </cell>
          <cell r="J462">
            <v>13345</v>
          </cell>
          <cell r="K462">
            <v>2207</v>
          </cell>
          <cell r="M462">
            <v>7772</v>
          </cell>
        </row>
        <row r="463">
          <cell r="G463">
            <v>1487112</v>
          </cell>
          <cell r="H463">
            <v>347793</v>
          </cell>
          <cell r="J463">
            <v>12614</v>
          </cell>
          <cell r="K463">
            <v>2144</v>
          </cell>
          <cell r="M463">
            <v>12019</v>
          </cell>
        </row>
        <row r="464">
          <cell r="G464">
            <v>1486539</v>
          </cell>
          <cell r="H464">
            <v>350250</v>
          </cell>
          <cell r="J464">
            <v>13027</v>
          </cell>
          <cell r="K464">
            <v>2196</v>
          </cell>
          <cell r="M464">
            <v>12241</v>
          </cell>
        </row>
        <row r="465">
          <cell r="G465">
            <v>1481202</v>
          </cell>
          <cell r="H465">
            <v>339531</v>
          </cell>
          <cell r="J465">
            <v>12721</v>
          </cell>
          <cell r="K465">
            <v>2161</v>
          </cell>
          <cell r="M465">
            <v>11952</v>
          </cell>
        </row>
        <row r="466">
          <cell r="G466">
            <v>1323290</v>
          </cell>
          <cell r="H466">
            <v>317600</v>
          </cell>
          <cell r="J466">
            <v>12559</v>
          </cell>
          <cell r="K466">
            <v>2183</v>
          </cell>
          <cell r="M466">
            <v>11763</v>
          </cell>
        </row>
        <row r="467">
          <cell r="G467">
            <v>1561707</v>
          </cell>
          <cell r="H467">
            <v>342294</v>
          </cell>
          <cell r="J467">
            <v>13920</v>
          </cell>
          <cell r="K467">
            <v>2273</v>
          </cell>
          <cell r="M467">
            <v>12976</v>
          </cell>
        </row>
        <row r="468">
          <cell r="G468">
            <v>1638936</v>
          </cell>
          <cell r="H468">
            <v>346904</v>
          </cell>
          <cell r="J468">
            <v>14094</v>
          </cell>
          <cell r="K468">
            <v>2291</v>
          </cell>
          <cell r="M468">
            <v>12165</v>
          </cell>
        </row>
        <row r="469">
          <cell r="G469">
            <v>1687237</v>
          </cell>
          <cell r="H469">
            <v>376558</v>
          </cell>
          <cell r="J469">
            <v>14819</v>
          </cell>
          <cell r="K469">
            <v>2404</v>
          </cell>
          <cell r="M469">
            <v>12305</v>
          </cell>
        </row>
        <row r="470">
          <cell r="G470">
            <v>1403049</v>
          </cell>
          <cell r="H470">
            <v>346149</v>
          </cell>
          <cell r="J470">
            <v>11849</v>
          </cell>
          <cell r="K470">
            <v>2323</v>
          </cell>
          <cell r="M470">
            <v>10853</v>
          </cell>
        </row>
        <row r="471">
          <cell r="G471">
            <v>1277628</v>
          </cell>
          <cell r="H471">
            <v>289879</v>
          </cell>
          <cell r="J471">
            <v>10652</v>
          </cell>
          <cell r="K471">
            <v>2066</v>
          </cell>
          <cell r="M471">
            <v>10372</v>
          </cell>
        </row>
        <row r="472">
          <cell r="G472">
            <v>1370234</v>
          </cell>
          <cell r="H472">
            <v>319633</v>
          </cell>
          <cell r="J472">
            <v>12020</v>
          </cell>
          <cell r="K472">
            <v>2280</v>
          </cell>
          <cell r="M472">
            <v>12496</v>
          </cell>
        </row>
        <row r="473">
          <cell r="G473">
            <v>1383381</v>
          </cell>
          <cell r="H473">
            <v>325441</v>
          </cell>
          <cell r="J473">
            <v>11830</v>
          </cell>
          <cell r="K473">
            <v>2137</v>
          </cell>
          <cell r="M473">
            <v>11229</v>
          </cell>
        </row>
        <row r="474">
          <cell r="G474">
            <v>1420081</v>
          </cell>
          <cell r="H474">
            <v>346024</v>
          </cell>
          <cell r="J474">
            <v>12553</v>
          </cell>
          <cell r="K474">
            <v>2232</v>
          </cell>
          <cell r="M474">
            <v>6942</v>
          </cell>
        </row>
        <row r="475">
          <cell r="G475">
            <v>1346233</v>
          </cell>
          <cell r="H475">
            <v>323427</v>
          </cell>
          <cell r="J475">
            <v>12063</v>
          </cell>
          <cell r="K475">
            <v>2116</v>
          </cell>
          <cell r="M475">
            <v>12575</v>
          </cell>
        </row>
        <row r="476">
          <cell r="G476">
            <v>1449387</v>
          </cell>
          <cell r="H476">
            <v>353172</v>
          </cell>
          <cell r="J476">
            <v>12310</v>
          </cell>
          <cell r="K476">
            <v>2178</v>
          </cell>
          <cell r="M476">
            <v>12427</v>
          </cell>
        </row>
        <row r="477">
          <cell r="G477">
            <v>1397785</v>
          </cell>
          <cell r="H477">
            <v>352535</v>
          </cell>
          <cell r="J477">
            <v>12326</v>
          </cell>
          <cell r="K477">
            <v>2261</v>
          </cell>
          <cell r="M477">
            <v>12272</v>
          </cell>
        </row>
        <row r="478">
          <cell r="G478">
            <v>1411773</v>
          </cell>
          <cell r="H478">
            <v>309440</v>
          </cell>
          <cell r="J478">
            <v>12326</v>
          </cell>
          <cell r="K478">
            <v>2261</v>
          </cell>
          <cell r="M478">
            <v>12083</v>
          </cell>
        </row>
        <row r="479">
          <cell r="G479">
            <v>1492375</v>
          </cell>
          <cell r="H479">
            <v>325507</v>
          </cell>
          <cell r="J479">
            <v>13669</v>
          </cell>
          <cell r="K479">
            <v>2209</v>
          </cell>
          <cell r="M479">
            <v>12709</v>
          </cell>
        </row>
        <row r="480">
          <cell r="G480">
            <v>1403883</v>
          </cell>
          <cell r="H480">
            <v>316230</v>
          </cell>
          <cell r="J480">
            <v>12913</v>
          </cell>
          <cell r="K480">
            <v>2158</v>
          </cell>
          <cell r="M480">
            <v>11378</v>
          </cell>
        </row>
        <row r="481">
          <cell r="G481">
            <v>1586235</v>
          </cell>
          <cell r="H481">
            <v>354449</v>
          </cell>
          <cell r="J481">
            <v>13425</v>
          </cell>
          <cell r="K481">
            <v>2211</v>
          </cell>
          <cell r="M481">
            <v>12086</v>
          </cell>
        </row>
        <row r="482">
          <cell r="G482">
            <v>1100983</v>
          </cell>
          <cell r="H482">
            <v>309474</v>
          </cell>
          <cell r="J482">
            <v>9657</v>
          </cell>
          <cell r="K482">
            <v>1908</v>
          </cell>
          <cell r="M482">
            <v>9929</v>
          </cell>
        </row>
        <row r="483">
          <cell r="G483">
            <v>1026493</v>
          </cell>
          <cell r="H483">
            <v>253689</v>
          </cell>
          <cell r="J483">
            <v>9333</v>
          </cell>
          <cell r="K483">
            <v>1705</v>
          </cell>
          <cell r="M483">
            <v>9382</v>
          </cell>
        </row>
        <row r="484">
          <cell r="G484">
            <v>1042748</v>
          </cell>
          <cell r="H484">
            <v>264465</v>
          </cell>
          <cell r="J484">
            <v>12020</v>
          </cell>
          <cell r="K484">
            <v>2280</v>
          </cell>
          <cell r="M484">
            <v>11939</v>
          </cell>
        </row>
        <row r="485">
          <cell r="G485">
            <v>1080938</v>
          </cell>
          <cell r="H485">
            <v>278872</v>
          </cell>
          <cell r="J485">
            <v>9879</v>
          </cell>
          <cell r="K485">
            <v>1887</v>
          </cell>
          <cell r="M485">
            <v>6170</v>
          </cell>
        </row>
        <row r="486">
          <cell r="G486">
            <v>1065930</v>
          </cell>
          <cell r="H486">
            <v>316152</v>
          </cell>
          <cell r="J486">
            <v>9759</v>
          </cell>
          <cell r="K486">
            <v>1925</v>
          </cell>
          <cell r="M486">
            <v>11302</v>
          </cell>
        </row>
        <row r="487">
          <cell r="G487">
            <v>1084587</v>
          </cell>
          <cell r="H487">
            <v>287014</v>
          </cell>
          <cell r="J487">
            <v>9373</v>
          </cell>
          <cell r="K487">
            <v>1899</v>
          </cell>
          <cell r="M487">
            <v>11037</v>
          </cell>
        </row>
        <row r="488">
          <cell r="G488">
            <v>1135005</v>
          </cell>
          <cell r="H488">
            <v>316705</v>
          </cell>
          <cell r="J488">
            <v>9949</v>
          </cell>
          <cell r="K488">
            <v>1970</v>
          </cell>
          <cell r="M488">
            <v>10661</v>
          </cell>
        </row>
        <row r="489">
          <cell r="G489">
            <v>1124138</v>
          </cell>
          <cell r="H489">
            <v>320374</v>
          </cell>
          <cell r="J489">
            <v>9642</v>
          </cell>
          <cell r="K489">
            <v>2044</v>
          </cell>
          <cell r="M489">
            <v>11778</v>
          </cell>
        </row>
        <row r="490">
          <cell r="G490">
            <v>1110439</v>
          </cell>
          <cell r="H490">
            <v>299836</v>
          </cell>
          <cell r="J490">
            <v>9602</v>
          </cell>
          <cell r="K490">
            <v>1958</v>
          </cell>
          <cell r="M490">
            <v>11732</v>
          </cell>
        </row>
        <row r="491">
          <cell r="G491">
            <v>1220747</v>
          </cell>
          <cell r="H491">
            <v>278871</v>
          </cell>
          <cell r="J491">
            <v>13669</v>
          </cell>
          <cell r="K491">
            <v>2209</v>
          </cell>
          <cell r="M491">
            <v>11250</v>
          </cell>
        </row>
        <row r="492">
          <cell r="G492">
            <v>1239827</v>
          </cell>
          <cell r="H492">
            <v>291103</v>
          </cell>
          <cell r="J492">
            <v>10191</v>
          </cell>
          <cell r="K492">
            <v>2158</v>
          </cell>
          <cell r="M492">
            <v>10542</v>
          </cell>
        </row>
        <row r="493">
          <cell r="G493">
            <v>1358551</v>
          </cell>
          <cell r="H493">
            <v>341128</v>
          </cell>
          <cell r="J493">
            <v>11130</v>
          </cell>
          <cell r="K493">
            <v>2299</v>
          </cell>
          <cell r="M493">
            <v>11666</v>
          </cell>
        </row>
        <row r="494">
          <cell r="G494">
            <v>830614</v>
          </cell>
          <cell r="H494">
            <v>287301</v>
          </cell>
          <cell r="J494">
            <v>7808</v>
          </cell>
          <cell r="K494">
            <v>1779</v>
          </cell>
          <cell r="M494">
            <v>8808</v>
          </cell>
        </row>
        <row r="495">
          <cell r="G495">
            <v>790913</v>
          </cell>
          <cell r="H495">
            <v>241635</v>
          </cell>
          <cell r="J495">
            <v>7407</v>
          </cell>
          <cell r="K495">
            <v>1679</v>
          </cell>
          <cell r="M495">
            <v>8437</v>
          </cell>
        </row>
        <row r="496">
          <cell r="G496">
            <v>824748</v>
          </cell>
          <cell r="H496">
            <v>257121</v>
          </cell>
          <cell r="J496">
            <v>7942</v>
          </cell>
          <cell r="K496">
            <v>1820</v>
          </cell>
          <cell r="M496">
            <v>9876</v>
          </cell>
        </row>
        <row r="497">
          <cell r="G497">
            <v>852645</v>
          </cell>
          <cell r="H497">
            <v>272076</v>
          </cell>
          <cell r="J497">
            <v>7926</v>
          </cell>
          <cell r="K497">
            <v>1835</v>
          </cell>
          <cell r="M497">
            <v>5179</v>
          </cell>
        </row>
        <row r="498">
          <cell r="G498">
            <v>914955</v>
          </cell>
          <cell r="H498">
            <v>297409</v>
          </cell>
          <cell r="J498">
            <v>8547</v>
          </cell>
          <cell r="K498">
            <v>1892</v>
          </cell>
          <cell r="M498">
            <v>9425</v>
          </cell>
        </row>
        <row r="499">
          <cell r="G499">
            <v>846234</v>
          </cell>
          <cell r="H499">
            <v>270769</v>
          </cell>
          <cell r="J499">
            <v>8352</v>
          </cell>
          <cell r="K499">
            <v>1827</v>
          </cell>
          <cell r="M499">
            <v>9902</v>
          </cell>
        </row>
        <row r="500">
          <cell r="G500">
            <v>954681</v>
          </cell>
          <cell r="H500">
            <v>289710</v>
          </cell>
          <cell r="J500">
            <v>9949</v>
          </cell>
          <cell r="K500">
            <v>1970</v>
          </cell>
          <cell r="M500">
            <v>9606</v>
          </cell>
        </row>
        <row r="501">
          <cell r="G501">
            <v>974079</v>
          </cell>
          <cell r="H501">
            <v>298465</v>
          </cell>
          <cell r="J501">
            <v>8899</v>
          </cell>
          <cell r="K501">
            <v>1892</v>
          </cell>
          <cell r="M501">
            <v>9880</v>
          </cell>
        </row>
        <row r="502">
          <cell r="G502">
            <v>908581</v>
          </cell>
          <cell r="H502">
            <v>273793</v>
          </cell>
          <cell r="J502">
            <v>8607</v>
          </cell>
          <cell r="K502">
            <v>1864</v>
          </cell>
          <cell r="M502">
            <v>10214</v>
          </cell>
        </row>
        <row r="503">
          <cell r="G503">
            <v>993542</v>
          </cell>
          <cell r="H503">
            <v>268188</v>
          </cell>
          <cell r="J503">
            <v>9366</v>
          </cell>
          <cell r="K503">
            <v>1947</v>
          </cell>
          <cell r="M503">
            <v>11641</v>
          </cell>
        </row>
        <row r="504">
          <cell r="G504">
            <v>1022841</v>
          </cell>
          <cell r="H504">
            <v>264156</v>
          </cell>
          <cell r="J504">
            <v>9297</v>
          </cell>
          <cell r="K504">
            <v>1762</v>
          </cell>
          <cell r="M504">
            <v>9946</v>
          </cell>
        </row>
        <row r="505">
          <cell r="G505">
            <v>1094831</v>
          </cell>
          <cell r="H505">
            <v>307867</v>
          </cell>
          <cell r="J505">
            <v>9435</v>
          </cell>
          <cell r="K505">
            <v>1947</v>
          </cell>
          <cell r="M505">
            <v>11078</v>
          </cell>
        </row>
        <row r="506">
          <cell r="G506">
            <v>691672</v>
          </cell>
          <cell r="H506">
            <v>279108</v>
          </cell>
          <cell r="J506">
            <v>6350</v>
          </cell>
          <cell r="K506">
            <v>1682</v>
          </cell>
          <cell r="M506">
            <v>7986</v>
          </cell>
        </row>
        <row r="507">
          <cell r="G507">
            <v>646482</v>
          </cell>
          <cell r="H507">
            <v>233818</v>
          </cell>
          <cell r="J507">
            <v>5592</v>
          </cell>
          <cell r="K507">
            <v>1519</v>
          </cell>
          <cell r="M507">
            <v>7804</v>
          </cell>
        </row>
        <row r="508">
          <cell r="G508">
            <v>658248</v>
          </cell>
          <cell r="H508">
            <v>241880</v>
          </cell>
          <cell r="J508">
            <v>6260</v>
          </cell>
          <cell r="K508">
            <v>1670</v>
          </cell>
          <cell r="M508">
            <v>9217</v>
          </cell>
        </row>
        <row r="509">
          <cell r="G509">
            <v>698406</v>
          </cell>
          <cell r="H509">
            <v>237196</v>
          </cell>
          <cell r="J509">
            <v>6269</v>
          </cell>
          <cell r="K509">
            <v>1611</v>
          </cell>
          <cell r="M509">
            <v>8962</v>
          </cell>
        </row>
        <row r="510">
          <cell r="G510">
            <v>761257</v>
          </cell>
          <cell r="H510">
            <v>276236</v>
          </cell>
          <cell r="J510">
            <v>6559</v>
          </cell>
          <cell r="K510">
            <v>1682</v>
          </cell>
          <cell r="M510">
            <v>9250</v>
          </cell>
        </row>
        <row r="511">
          <cell r="G511">
            <v>702899</v>
          </cell>
          <cell r="H511">
            <v>261443</v>
          </cell>
          <cell r="J511">
            <v>6244</v>
          </cell>
          <cell r="K511">
            <v>1661</v>
          </cell>
          <cell r="M511">
            <v>9358</v>
          </cell>
        </row>
        <row r="512">
          <cell r="G512">
            <v>753686</v>
          </cell>
          <cell r="H512">
            <v>259275</v>
          </cell>
          <cell r="J512">
            <v>6803</v>
          </cell>
          <cell r="K512">
            <v>1729</v>
          </cell>
          <cell r="M512">
            <v>9035</v>
          </cell>
        </row>
        <row r="513">
          <cell r="G513">
            <v>750248</v>
          </cell>
          <cell r="H513">
            <v>265738</v>
          </cell>
          <cell r="J513">
            <v>7001</v>
          </cell>
          <cell r="K513">
            <v>1749</v>
          </cell>
          <cell r="M513">
            <v>9533</v>
          </cell>
        </row>
        <row r="514">
          <cell r="G514">
            <v>702794</v>
          </cell>
          <cell r="H514">
            <v>250264</v>
          </cell>
          <cell r="J514">
            <v>6845</v>
          </cell>
          <cell r="K514">
            <v>1701</v>
          </cell>
          <cell r="M514">
            <v>9191</v>
          </cell>
        </row>
        <row r="515">
          <cell r="G515">
            <v>779150</v>
          </cell>
          <cell r="H515">
            <v>265339</v>
          </cell>
          <cell r="J515">
            <v>7277</v>
          </cell>
          <cell r="K515">
            <v>1764</v>
          </cell>
          <cell r="M515">
            <v>9306</v>
          </cell>
        </row>
        <row r="516">
          <cell r="G516">
            <v>778865</v>
          </cell>
          <cell r="H516">
            <v>255974</v>
          </cell>
          <cell r="J516">
            <v>7325</v>
          </cell>
          <cell r="K516">
            <v>1726</v>
          </cell>
          <cell r="M516">
            <v>9116</v>
          </cell>
        </row>
        <row r="517">
          <cell r="G517">
            <v>856682</v>
          </cell>
          <cell r="H517">
            <v>300375</v>
          </cell>
          <cell r="J517">
            <v>7599</v>
          </cell>
          <cell r="K517">
            <v>1792</v>
          </cell>
          <cell r="M517">
            <v>9161</v>
          </cell>
        </row>
        <row r="518">
          <cell r="G518">
            <v>3518811</v>
          </cell>
          <cell r="H518">
            <v>1475428</v>
          </cell>
          <cell r="I518">
            <v>4994239</v>
          </cell>
          <cell r="J518">
            <v>20425</v>
          </cell>
          <cell r="K518">
            <v>7929</v>
          </cell>
          <cell r="L518">
            <v>28354</v>
          </cell>
          <cell r="M518">
            <v>70482.100000000006</v>
          </cell>
        </row>
        <row r="519">
          <cell r="G519">
            <v>3270849</v>
          </cell>
          <cell r="H519">
            <v>1296886</v>
          </cell>
          <cell r="I519">
            <v>4567735</v>
          </cell>
          <cell r="J519">
            <v>18751</v>
          </cell>
          <cell r="K519">
            <v>6974</v>
          </cell>
          <cell r="L519">
            <v>25725</v>
          </cell>
          <cell r="M519">
            <v>67685.7</v>
          </cell>
        </row>
        <row r="520">
          <cell r="G520">
            <v>3353704</v>
          </cell>
          <cell r="H520">
            <v>1268831</v>
          </cell>
          <cell r="I520">
            <v>4622535</v>
          </cell>
          <cell r="J520">
            <v>20731</v>
          </cell>
          <cell r="K520">
            <v>7491</v>
          </cell>
          <cell r="L520">
            <v>28222</v>
          </cell>
          <cell r="M520">
            <v>80658.600000000006</v>
          </cell>
        </row>
        <row r="521">
          <cell r="G521">
            <v>3292834</v>
          </cell>
          <cell r="H521">
            <v>1273499</v>
          </cell>
          <cell r="I521">
            <v>4566333</v>
          </cell>
          <cell r="J521">
            <v>19947</v>
          </cell>
          <cell r="K521">
            <v>7356</v>
          </cell>
          <cell r="L521">
            <v>27303</v>
          </cell>
          <cell r="M521">
            <v>55292.3</v>
          </cell>
        </row>
        <row r="522">
          <cell r="G522">
            <v>3275437</v>
          </cell>
          <cell r="H522">
            <v>1342584</v>
          </cell>
          <cell r="I522">
            <v>4618021</v>
          </cell>
          <cell r="J522">
            <v>20332</v>
          </cell>
          <cell r="K522">
            <v>7566</v>
          </cell>
          <cell r="L522">
            <v>27898</v>
          </cell>
          <cell r="M522">
            <v>78600.899999999994</v>
          </cell>
        </row>
        <row r="523">
          <cell r="G523">
            <v>3152371</v>
          </cell>
          <cell r="H523">
            <v>1280195</v>
          </cell>
          <cell r="I523">
            <v>4432566</v>
          </cell>
          <cell r="J523">
            <v>19834</v>
          </cell>
          <cell r="K523">
            <v>7300</v>
          </cell>
          <cell r="L523">
            <v>27134</v>
          </cell>
          <cell r="M523">
            <v>74328.899999999994</v>
          </cell>
        </row>
        <row r="524">
          <cell r="G524">
            <v>3062130</v>
          </cell>
          <cell r="H524">
            <v>1344446</v>
          </cell>
          <cell r="I524">
            <v>4406576</v>
          </cell>
          <cell r="J524">
            <v>7780</v>
          </cell>
          <cell r="K524">
            <v>19369</v>
          </cell>
          <cell r="L524">
            <v>27149</v>
          </cell>
          <cell r="M524">
            <v>77367.399999999994</v>
          </cell>
        </row>
        <row r="525">
          <cell r="G525">
            <v>3194908</v>
          </cell>
          <cell r="H525">
            <v>1327047</v>
          </cell>
          <cell r="I525">
            <v>4521955</v>
          </cell>
          <cell r="J525">
            <v>19509</v>
          </cell>
          <cell r="K525">
            <v>7909</v>
          </cell>
          <cell r="L525">
            <v>27418</v>
          </cell>
          <cell r="M525">
            <v>75788.5</v>
          </cell>
        </row>
        <row r="526">
          <cell r="G526">
            <v>3125307</v>
          </cell>
          <cell r="H526">
            <v>1278826</v>
          </cell>
          <cell r="I526">
            <v>4404133</v>
          </cell>
          <cell r="J526">
            <v>19524</v>
          </cell>
          <cell r="K526">
            <v>7630</v>
          </cell>
          <cell r="L526">
            <v>27154</v>
          </cell>
          <cell r="M526">
            <v>76934.8</v>
          </cell>
        </row>
        <row r="527">
          <cell r="G527">
            <v>3465682</v>
          </cell>
          <cell r="H527">
            <v>1361859</v>
          </cell>
          <cell r="J527">
            <v>20876</v>
          </cell>
          <cell r="K527">
            <v>7399</v>
          </cell>
          <cell r="M527">
            <v>69325.5</v>
          </cell>
        </row>
        <row r="528">
          <cell r="G528">
            <v>3308273</v>
          </cell>
          <cell r="H528">
            <v>1243363</v>
          </cell>
          <cell r="J528">
            <v>20008</v>
          </cell>
          <cell r="K528">
            <v>6911</v>
          </cell>
          <cell r="M528">
            <v>73194.8</v>
          </cell>
        </row>
        <row r="529">
          <cell r="G529">
            <v>3268714</v>
          </cell>
          <cell r="H529">
            <v>1235115</v>
          </cell>
          <cell r="J529">
            <v>20915</v>
          </cell>
          <cell r="K529">
            <v>7386</v>
          </cell>
          <cell r="M529">
            <v>80743</v>
          </cell>
        </row>
        <row r="530">
          <cell r="G530">
            <v>3204127</v>
          </cell>
          <cell r="H530">
            <v>1157175</v>
          </cell>
          <cell r="J530">
            <v>19892</v>
          </cell>
          <cell r="K530">
            <v>6978</v>
          </cell>
          <cell r="M530">
            <v>70854</v>
          </cell>
        </row>
        <row r="531">
          <cell r="G531">
            <v>3398390</v>
          </cell>
          <cell r="H531">
            <v>1308243</v>
          </cell>
          <cell r="J531">
            <v>20192</v>
          </cell>
          <cell r="K531">
            <v>7382</v>
          </cell>
          <cell r="M531">
            <v>73975.399999999994</v>
          </cell>
        </row>
        <row r="532">
          <cell r="G532">
            <v>3130650</v>
          </cell>
          <cell r="H532">
            <v>1261804</v>
          </cell>
          <cell r="J532">
            <v>19691</v>
          </cell>
          <cell r="K532">
            <v>7159</v>
          </cell>
          <cell r="M532">
            <v>76049.100000000006</v>
          </cell>
        </row>
        <row r="533">
          <cell r="G533">
            <v>3088116</v>
          </cell>
          <cell r="H533">
            <v>1282465</v>
          </cell>
          <cell r="J533">
            <v>19853</v>
          </cell>
          <cell r="K533">
            <v>7581</v>
          </cell>
          <cell r="M533">
            <v>76246.899999999994</v>
          </cell>
        </row>
        <row r="534">
          <cell r="G534">
            <v>3218276</v>
          </cell>
          <cell r="H534">
            <v>1239071</v>
          </cell>
          <cell r="J534">
            <v>20440</v>
          </cell>
          <cell r="K534">
            <v>7584</v>
          </cell>
          <cell r="M534">
            <v>74163.100000000006</v>
          </cell>
        </row>
        <row r="535">
          <cell r="G535">
            <v>3214742</v>
          </cell>
          <cell r="H535">
            <v>1179071</v>
          </cell>
          <cell r="J535">
            <v>19761</v>
          </cell>
          <cell r="K535">
            <v>7460</v>
          </cell>
          <cell r="M535">
            <v>75786.899999999994</v>
          </cell>
        </row>
        <row r="536">
          <cell r="G536">
            <v>3169784</v>
          </cell>
          <cell r="H536">
            <v>1253805</v>
          </cell>
          <cell r="J536">
            <v>20204</v>
          </cell>
          <cell r="K536">
            <v>7634</v>
          </cell>
          <cell r="M536">
            <v>78728.800000000003</v>
          </cell>
        </row>
        <row r="537">
          <cell r="G537">
            <v>3403020</v>
          </cell>
          <cell r="H537">
            <v>1372746</v>
          </cell>
          <cell r="J537">
            <v>19696</v>
          </cell>
          <cell r="K537">
            <v>7504</v>
          </cell>
          <cell r="M537">
            <v>70995.8</v>
          </cell>
        </row>
        <row r="538">
          <cell r="G538">
            <v>3553399</v>
          </cell>
          <cell r="H538">
            <v>1503029</v>
          </cell>
          <cell r="J538">
            <v>20715</v>
          </cell>
          <cell r="K538">
            <v>8036</v>
          </cell>
          <cell r="M538">
            <v>74273.7</v>
          </cell>
        </row>
        <row r="539">
          <cell r="G539">
            <v>3186565</v>
          </cell>
          <cell r="H539">
            <v>1173305</v>
          </cell>
          <cell r="J539">
            <v>20662</v>
          </cell>
          <cell r="K539">
            <v>6669</v>
          </cell>
          <cell r="M539">
            <v>60092</v>
          </cell>
        </row>
        <row r="540">
          <cell r="G540">
            <v>3030545</v>
          </cell>
          <cell r="H540">
            <v>1049133</v>
          </cell>
          <cell r="J540">
            <v>18891</v>
          </cell>
          <cell r="K540">
            <v>6104</v>
          </cell>
          <cell r="M540">
            <v>60866</v>
          </cell>
        </row>
        <row r="541">
          <cell r="G541">
            <v>3089815</v>
          </cell>
          <cell r="H541">
            <v>1121929</v>
          </cell>
          <cell r="J541">
            <v>20160</v>
          </cell>
          <cell r="K541">
            <v>6900</v>
          </cell>
          <cell r="M541">
            <v>70672</v>
          </cell>
        </row>
        <row r="542">
          <cell r="G542">
            <v>3021836</v>
          </cell>
          <cell r="H542">
            <v>992987</v>
          </cell>
          <cell r="J542">
            <v>18982</v>
          </cell>
          <cell r="K542">
            <v>6495</v>
          </cell>
          <cell r="M542">
            <v>63750</v>
          </cell>
        </row>
        <row r="543">
          <cell r="G543">
            <v>3198677</v>
          </cell>
          <cell r="H543">
            <v>1145129</v>
          </cell>
          <cell r="J543">
            <v>19333</v>
          </cell>
          <cell r="K543">
            <v>6721</v>
          </cell>
          <cell r="M543">
            <v>69048</v>
          </cell>
        </row>
        <row r="544">
          <cell r="G544">
            <v>3014063</v>
          </cell>
          <cell r="H544">
            <v>1174362</v>
          </cell>
          <cell r="J544">
            <v>18948</v>
          </cell>
          <cell r="K544">
            <v>6647</v>
          </cell>
          <cell r="M544">
            <v>68038</v>
          </cell>
        </row>
        <row r="545">
          <cell r="G545">
            <v>3014063</v>
          </cell>
          <cell r="H545">
            <v>1174362</v>
          </cell>
          <cell r="J545">
            <v>20016</v>
          </cell>
          <cell r="K545">
            <v>6755</v>
          </cell>
          <cell r="M545">
            <v>65552</v>
          </cell>
        </row>
        <row r="546">
          <cell r="G546">
            <v>3201736</v>
          </cell>
          <cell r="H546">
            <v>1128013</v>
          </cell>
          <cell r="J546">
            <v>20711</v>
          </cell>
          <cell r="K546">
            <v>6960</v>
          </cell>
          <cell r="M546">
            <v>65808</v>
          </cell>
        </row>
        <row r="547">
          <cell r="G547">
            <v>3173177</v>
          </cell>
          <cell r="H547">
            <v>1093625</v>
          </cell>
          <cell r="J547">
            <v>20108</v>
          </cell>
          <cell r="K547">
            <v>6745</v>
          </cell>
          <cell r="M547">
            <v>63740</v>
          </cell>
        </row>
        <row r="548">
          <cell r="G548">
            <v>3114205</v>
          </cell>
          <cell r="H548">
            <v>1140990</v>
          </cell>
          <cell r="J548">
            <v>20497</v>
          </cell>
          <cell r="K548">
            <v>6826</v>
          </cell>
          <cell r="M548">
            <v>68774</v>
          </cell>
        </row>
        <row r="549">
          <cell r="G549">
            <v>3191208</v>
          </cell>
          <cell r="H549">
            <v>1269765</v>
          </cell>
          <cell r="J549">
            <v>20275</v>
          </cell>
          <cell r="K549">
            <v>7010</v>
          </cell>
          <cell r="M549">
            <v>63681</v>
          </cell>
        </row>
        <row r="550">
          <cell r="G550">
            <v>3504149</v>
          </cell>
          <cell r="H550">
            <v>1385529</v>
          </cell>
          <cell r="J550">
            <v>21144</v>
          </cell>
          <cell r="K550">
            <v>7318</v>
          </cell>
          <cell r="M550">
            <v>71309</v>
          </cell>
        </row>
        <row r="551">
          <cell r="G551">
            <v>1383435</v>
          </cell>
          <cell r="H551">
            <v>370681</v>
          </cell>
          <cell r="J551">
            <v>13057</v>
          </cell>
          <cell r="K551">
            <v>3794</v>
          </cell>
          <cell r="M551">
            <v>59371</v>
          </cell>
        </row>
        <row r="552">
          <cell r="G552">
            <v>1902753</v>
          </cell>
          <cell r="H552">
            <v>367223</v>
          </cell>
          <cell r="J552">
            <v>12829</v>
          </cell>
          <cell r="K552">
            <v>3105</v>
          </cell>
          <cell r="M552">
            <v>58112</v>
          </cell>
        </row>
        <row r="553">
          <cell r="G553">
            <v>2490422</v>
          </cell>
          <cell r="H553">
            <v>538586</v>
          </cell>
          <cell r="J553">
            <v>17452</v>
          </cell>
          <cell r="K553">
            <v>3967</v>
          </cell>
          <cell r="M553">
            <v>69278</v>
          </cell>
        </row>
        <row r="554">
          <cell r="G554">
            <v>2464301</v>
          </cell>
          <cell r="H554">
            <v>598846</v>
          </cell>
          <cell r="J554">
            <v>17533</v>
          </cell>
          <cell r="K554">
            <v>4064</v>
          </cell>
          <cell r="M554">
            <v>65623</v>
          </cell>
        </row>
        <row r="555">
          <cell r="G555">
            <v>2777217</v>
          </cell>
          <cell r="H555">
            <v>770072</v>
          </cell>
          <cell r="J555">
            <v>18852</v>
          </cell>
          <cell r="K555">
            <v>4964</v>
          </cell>
          <cell r="M555">
            <v>66922</v>
          </cell>
        </row>
        <row r="556">
          <cell r="G556">
            <v>2350266</v>
          </cell>
          <cell r="H556">
            <v>825971</v>
          </cell>
          <cell r="J556">
            <v>17737</v>
          </cell>
          <cell r="K556">
            <v>5016</v>
          </cell>
          <cell r="M556">
            <v>67916</v>
          </cell>
        </row>
        <row r="557">
          <cell r="G557">
            <v>2152365</v>
          </cell>
          <cell r="H557">
            <v>835519</v>
          </cell>
          <cell r="J557">
            <v>16411</v>
          </cell>
          <cell r="K557">
            <v>5164</v>
          </cell>
          <cell r="M557">
            <v>65891</v>
          </cell>
        </row>
        <row r="558">
          <cell r="G558">
            <v>2446573</v>
          </cell>
          <cell r="H558">
            <v>853427</v>
          </cell>
          <cell r="J558">
            <v>17845</v>
          </cell>
          <cell r="K558">
            <v>5315</v>
          </cell>
          <cell r="M558">
            <v>61830</v>
          </cell>
        </row>
        <row r="559">
          <cell r="G559">
            <v>2487161</v>
          </cell>
          <cell r="H559">
            <v>841087</v>
          </cell>
          <cell r="J559">
            <v>18064</v>
          </cell>
          <cell r="K559">
            <v>5260</v>
          </cell>
          <cell r="M559">
            <v>65405</v>
          </cell>
        </row>
        <row r="560">
          <cell r="G560">
            <v>2652883</v>
          </cell>
          <cell r="H560">
            <v>947625</v>
          </cell>
          <cell r="J560">
            <v>18131</v>
          </cell>
          <cell r="K560">
            <v>5754</v>
          </cell>
          <cell r="M560">
            <v>63716</v>
          </cell>
        </row>
        <row r="561">
          <cell r="G561">
            <v>2911077</v>
          </cell>
          <cell r="H561">
            <v>1025650</v>
          </cell>
          <cell r="J561">
            <v>18424</v>
          </cell>
          <cell r="K561">
            <v>6004</v>
          </cell>
          <cell r="M561">
            <v>62599</v>
          </cell>
        </row>
        <row r="562">
          <cell r="G562">
            <v>3174309</v>
          </cell>
          <cell r="H562">
            <v>1164657</v>
          </cell>
          <cell r="J562">
            <v>19898</v>
          </cell>
          <cell r="K562">
            <v>6565</v>
          </cell>
          <cell r="M562">
            <v>65402</v>
          </cell>
        </row>
        <row r="563">
          <cell r="G563">
            <v>1552969</v>
          </cell>
          <cell r="H563">
            <v>177974</v>
          </cell>
          <cell r="J563">
            <v>13789</v>
          </cell>
          <cell r="K563">
            <v>2642</v>
          </cell>
          <cell r="L563">
            <v>16431</v>
          </cell>
          <cell r="M563">
            <v>59301</v>
          </cell>
        </row>
        <row r="564">
          <cell r="G564">
            <v>1612934</v>
          </cell>
          <cell r="H564">
            <v>167159</v>
          </cell>
          <cell r="J564">
            <v>13295</v>
          </cell>
          <cell r="K564">
            <v>2394</v>
          </cell>
          <cell r="L564">
            <v>15689</v>
          </cell>
          <cell r="M564">
            <v>60927</v>
          </cell>
        </row>
        <row r="565">
          <cell r="G565">
            <v>1404250</v>
          </cell>
          <cell r="H565">
            <v>176444</v>
          </cell>
          <cell r="J565">
            <v>14323</v>
          </cell>
          <cell r="K565">
            <v>2723</v>
          </cell>
          <cell r="L565">
            <v>17046</v>
          </cell>
          <cell r="M565">
            <v>70527</v>
          </cell>
        </row>
        <row r="566">
          <cell r="G566">
            <v>903905</v>
          </cell>
          <cell r="H566">
            <v>137213</v>
          </cell>
          <cell r="J566">
            <v>11386</v>
          </cell>
          <cell r="K566">
            <v>2377</v>
          </cell>
          <cell r="L566">
            <v>13763</v>
          </cell>
          <cell r="M566">
            <v>66432</v>
          </cell>
        </row>
        <row r="567">
          <cell r="G567">
            <v>380495</v>
          </cell>
          <cell r="H567">
            <v>54185</v>
          </cell>
          <cell r="J567">
            <v>5178</v>
          </cell>
          <cell r="K567">
            <v>1969</v>
          </cell>
          <cell r="L567">
            <v>7147</v>
          </cell>
          <cell r="M567">
            <v>61858</v>
          </cell>
        </row>
        <row r="568">
          <cell r="G568">
            <v>633178</v>
          </cell>
          <cell r="H568">
            <v>61717</v>
          </cell>
          <cell r="J568">
            <v>6366</v>
          </cell>
          <cell r="K568">
            <v>1892</v>
          </cell>
          <cell r="L568">
            <v>8258</v>
          </cell>
          <cell r="M568">
            <v>60971</v>
          </cell>
        </row>
        <row r="569">
          <cell r="G569">
            <v>1005761</v>
          </cell>
          <cell r="H569">
            <v>101203</v>
          </cell>
          <cell r="J569">
            <v>9351</v>
          </cell>
          <cell r="K569">
            <v>2109</v>
          </cell>
          <cell r="L569">
            <v>11460</v>
          </cell>
          <cell r="M569">
            <v>62764</v>
          </cell>
        </row>
        <row r="570">
          <cell r="G570">
            <v>1402369</v>
          </cell>
          <cell r="H570">
            <v>184787</v>
          </cell>
          <cell r="J570">
            <v>11644</v>
          </cell>
          <cell r="K570">
            <v>2564</v>
          </cell>
          <cell r="L570">
            <v>14208</v>
          </cell>
          <cell r="M570">
            <v>63078</v>
          </cell>
        </row>
        <row r="571">
          <cell r="G571">
            <v>1488254</v>
          </cell>
          <cell r="H571">
            <v>234963</v>
          </cell>
          <cell r="J571">
            <v>12319</v>
          </cell>
          <cell r="K571">
            <v>2812</v>
          </cell>
          <cell r="L571">
            <v>15131</v>
          </cell>
          <cell r="M571">
            <v>64599</v>
          </cell>
        </row>
        <row r="572">
          <cell r="G572">
            <v>2005635</v>
          </cell>
          <cell r="H572">
            <v>310370</v>
          </cell>
          <cell r="J572">
            <v>15460</v>
          </cell>
          <cell r="K572">
            <v>3136</v>
          </cell>
          <cell r="L572">
            <v>18596</v>
          </cell>
          <cell r="M572">
            <v>73136</v>
          </cell>
        </row>
        <row r="573">
          <cell r="G573">
            <v>2430735</v>
          </cell>
          <cell r="H573">
            <v>370850</v>
          </cell>
          <cell r="J573">
            <v>17518</v>
          </cell>
          <cell r="K573">
            <v>3149</v>
          </cell>
          <cell r="L573">
            <v>20667</v>
          </cell>
          <cell r="M573">
            <v>62965</v>
          </cell>
        </row>
        <row r="574">
          <cell r="G574">
            <v>2537960</v>
          </cell>
          <cell r="H574">
            <v>451212</v>
          </cell>
          <cell r="J574">
            <v>18720</v>
          </cell>
          <cell r="K574">
            <v>3853</v>
          </cell>
          <cell r="L574">
            <v>22573</v>
          </cell>
          <cell r="M574">
            <v>68389</v>
          </cell>
        </row>
        <row r="575">
          <cell r="G575">
            <v>3059644</v>
          </cell>
          <cell r="H575">
            <v>1242827</v>
          </cell>
          <cell r="J575">
            <v>20523</v>
          </cell>
          <cell r="K575">
            <v>7256</v>
          </cell>
          <cell r="M575">
            <v>73292</v>
          </cell>
        </row>
        <row r="576">
          <cell r="G576">
            <v>2945619</v>
          </cell>
          <cell r="H576">
            <v>1036205</v>
          </cell>
          <cell r="J576">
            <v>19368</v>
          </cell>
          <cell r="K576">
            <v>6739</v>
          </cell>
          <cell r="M576">
            <v>72917</v>
          </cell>
        </row>
        <row r="577">
          <cell r="G577">
            <v>1671216</v>
          </cell>
          <cell r="H577">
            <v>471278</v>
          </cell>
          <cell r="J577">
            <v>14117</v>
          </cell>
          <cell r="K577">
            <v>3967</v>
          </cell>
          <cell r="M577">
            <v>55937</v>
          </cell>
        </row>
        <row r="578">
          <cell r="G578">
            <v>1095</v>
          </cell>
          <cell r="H578">
            <v>7956</v>
          </cell>
          <cell r="J578">
            <v>305</v>
          </cell>
          <cell r="K578">
            <v>630</v>
          </cell>
          <cell r="M578">
            <v>16499</v>
          </cell>
        </row>
        <row r="579">
          <cell r="G579">
            <v>37937</v>
          </cell>
          <cell r="H579">
            <v>10380</v>
          </cell>
          <cell r="J579">
            <v>781</v>
          </cell>
          <cell r="K579">
            <v>1060</v>
          </cell>
          <cell r="M579">
            <v>27392</v>
          </cell>
        </row>
        <row r="580">
          <cell r="G580">
            <v>223810</v>
          </cell>
          <cell r="H580">
            <v>38234</v>
          </cell>
          <cell r="J580">
            <v>2594</v>
          </cell>
          <cell r="K580">
            <v>1642</v>
          </cell>
          <cell r="M580">
            <v>38904</v>
          </cell>
        </row>
        <row r="581">
          <cell r="G581">
            <v>271430</v>
          </cell>
          <cell r="H581">
            <v>65930</v>
          </cell>
          <cell r="J581">
            <v>3515</v>
          </cell>
          <cell r="K581">
            <v>1909</v>
          </cell>
          <cell r="M581">
            <v>42142</v>
          </cell>
        </row>
        <row r="582">
          <cell r="G582">
            <v>407883</v>
          </cell>
          <cell r="H582">
            <v>67567</v>
          </cell>
          <cell r="J582">
            <v>4133</v>
          </cell>
          <cell r="K582">
            <v>1745</v>
          </cell>
          <cell r="M582">
            <v>43956</v>
          </cell>
        </row>
        <row r="583">
          <cell r="G583">
            <v>652626</v>
          </cell>
          <cell r="H583">
            <v>77594</v>
          </cell>
          <cell r="J583">
            <v>6644</v>
          </cell>
          <cell r="K583">
            <v>1863</v>
          </cell>
          <cell r="M583">
            <v>51977</v>
          </cell>
        </row>
        <row r="584">
          <cell r="G584">
            <v>956728</v>
          </cell>
          <cell r="H584">
            <v>103250</v>
          </cell>
          <cell r="J584">
            <v>9053</v>
          </cell>
          <cell r="K584">
            <v>2132</v>
          </cell>
          <cell r="M584">
            <v>59091</v>
          </cell>
        </row>
        <row r="585">
          <cell r="G585">
            <v>1313451</v>
          </cell>
          <cell r="H585">
            <v>144461</v>
          </cell>
          <cell r="J585">
            <v>10989</v>
          </cell>
          <cell r="K585">
            <v>2329</v>
          </cell>
          <cell r="M585">
            <v>58971</v>
          </cell>
        </row>
        <row r="586">
          <cell r="G586">
            <v>1401186</v>
          </cell>
          <cell r="H586">
            <v>181563</v>
          </cell>
          <cell r="J586">
            <v>12777</v>
          </cell>
          <cell r="K586">
            <v>2597</v>
          </cell>
          <cell r="M586">
            <v>63279</v>
          </cell>
        </row>
        <row r="587">
          <cell r="G587">
            <v>2984842</v>
          </cell>
          <cell r="H587">
            <v>1354746</v>
          </cell>
          <cell r="J587">
            <v>20196</v>
          </cell>
          <cell r="K587">
            <v>7892</v>
          </cell>
          <cell r="L587">
            <v>28088</v>
          </cell>
          <cell r="M587">
            <v>76034</v>
          </cell>
        </row>
        <row r="588">
          <cell r="G588">
            <v>2529642</v>
          </cell>
          <cell r="H588">
            <v>1168148</v>
          </cell>
          <cell r="J588">
            <v>16288</v>
          </cell>
          <cell r="K588">
            <v>6934</v>
          </cell>
          <cell r="L588">
            <v>23222</v>
          </cell>
          <cell r="M588">
            <v>74491</v>
          </cell>
        </row>
        <row r="589">
          <cell r="G589">
            <v>2412096</v>
          </cell>
          <cell r="H589">
            <v>1159726</v>
          </cell>
          <cell r="J589">
            <v>15699</v>
          </cell>
          <cell r="K589">
            <v>7068</v>
          </cell>
          <cell r="L589">
            <v>22767</v>
          </cell>
          <cell r="M589">
            <v>84054</v>
          </cell>
        </row>
        <row r="590">
          <cell r="G590">
            <v>2328891</v>
          </cell>
          <cell r="H590">
            <v>993144</v>
          </cell>
          <cell r="J590">
            <v>15160</v>
          </cell>
          <cell r="K590">
            <v>5649</v>
          </cell>
          <cell r="L590">
            <v>20809</v>
          </cell>
          <cell r="M590">
            <v>70198</v>
          </cell>
        </row>
        <row r="591">
          <cell r="G591">
            <v>2839095</v>
          </cell>
          <cell r="H591">
            <v>1053465</v>
          </cell>
          <cell r="J591">
            <v>18556</v>
          </cell>
          <cell r="K591">
            <v>5878</v>
          </cell>
          <cell r="L591">
            <v>24434</v>
          </cell>
          <cell r="M591">
            <v>55028</v>
          </cell>
        </row>
        <row r="592">
          <cell r="G592">
            <v>2891923</v>
          </cell>
          <cell r="H592">
            <v>1025564</v>
          </cell>
          <cell r="J592">
            <v>19682</v>
          </cell>
          <cell r="K592">
            <v>5768</v>
          </cell>
          <cell r="L592">
            <v>25450</v>
          </cell>
          <cell r="M592">
            <v>69282</v>
          </cell>
        </row>
        <row r="593">
          <cell r="G593">
            <v>2867461</v>
          </cell>
          <cell r="H593">
            <v>1001859</v>
          </cell>
          <cell r="J593">
            <v>20105</v>
          </cell>
          <cell r="K593">
            <v>6121</v>
          </cell>
          <cell r="L593">
            <v>26226</v>
          </cell>
          <cell r="M593">
            <v>72273</v>
          </cell>
        </row>
        <row r="594">
          <cell r="G594">
            <v>2965436</v>
          </cell>
          <cell r="H594">
            <v>1037839</v>
          </cell>
          <cell r="J594">
            <v>20402</v>
          </cell>
          <cell r="K594">
            <v>6681</v>
          </cell>
          <cell r="L594">
            <v>27083</v>
          </cell>
          <cell r="M594">
            <v>73626</v>
          </cell>
        </row>
        <row r="595">
          <cell r="G595">
            <v>2841489</v>
          </cell>
          <cell r="H595">
            <v>996676</v>
          </cell>
          <cell r="J595">
            <v>19619</v>
          </cell>
          <cell r="K595">
            <v>6726</v>
          </cell>
          <cell r="L595">
            <v>26345</v>
          </cell>
          <cell r="M595">
            <v>71058</v>
          </cell>
        </row>
        <row r="596">
          <cell r="G596">
            <v>2914226</v>
          </cell>
          <cell r="H596">
            <v>1058983</v>
          </cell>
          <cell r="J596">
            <v>20884</v>
          </cell>
          <cell r="K596">
            <v>6979</v>
          </cell>
          <cell r="L596">
            <v>27863</v>
          </cell>
          <cell r="M596">
            <v>75228</v>
          </cell>
        </row>
        <row r="597">
          <cell r="G597">
            <v>3074219</v>
          </cell>
          <cell r="H597">
            <v>1175318</v>
          </cell>
          <cell r="J597">
            <v>19841</v>
          </cell>
          <cell r="K597">
            <v>6964</v>
          </cell>
          <cell r="L597">
            <v>26805</v>
          </cell>
          <cell r="M597">
            <v>73942</v>
          </cell>
        </row>
        <row r="598">
          <cell r="G598">
            <v>3118558</v>
          </cell>
          <cell r="H598">
            <v>1262394</v>
          </cell>
          <cell r="J598">
            <v>20424</v>
          </cell>
          <cell r="K598">
            <v>7266</v>
          </cell>
          <cell r="L598">
            <v>27690</v>
          </cell>
          <cell r="M598">
            <v>77238</v>
          </cell>
        </row>
        <row r="599">
          <cell r="G599">
            <v>3129079</v>
          </cell>
          <cell r="H599">
            <v>127001</v>
          </cell>
          <cell r="J599">
            <v>20429</v>
          </cell>
          <cell r="K599">
            <v>7527</v>
          </cell>
          <cell r="M599">
            <v>76347</v>
          </cell>
        </row>
        <row r="600">
          <cell r="G600">
            <v>2917790</v>
          </cell>
          <cell r="H600">
            <v>1088174</v>
          </cell>
          <cell r="J600">
            <v>18571</v>
          </cell>
          <cell r="K600">
            <v>6684</v>
          </cell>
          <cell r="M600">
            <v>73765</v>
          </cell>
        </row>
        <row r="601">
          <cell r="G601">
            <v>3105654</v>
          </cell>
          <cell r="H601">
            <v>1159208</v>
          </cell>
          <cell r="J601">
            <v>20589</v>
          </cell>
          <cell r="K601">
            <v>7417</v>
          </cell>
          <cell r="M601">
            <v>86155</v>
          </cell>
        </row>
        <row r="602">
          <cell r="G602">
            <v>3020411</v>
          </cell>
          <cell r="H602">
            <v>1127277</v>
          </cell>
          <cell r="J602">
            <v>19618</v>
          </cell>
          <cell r="K602">
            <v>7185</v>
          </cell>
          <cell r="M602">
            <v>79608</v>
          </cell>
        </row>
        <row r="603">
          <cell r="G603">
            <v>3083721</v>
          </cell>
          <cell r="H603">
            <v>1233219</v>
          </cell>
          <cell r="J603">
            <v>20706</v>
          </cell>
          <cell r="K603">
            <v>7482</v>
          </cell>
          <cell r="M603">
            <v>60084</v>
          </cell>
        </row>
        <row r="604">
          <cell r="G604">
            <v>2873863</v>
          </cell>
          <cell r="H604">
            <v>1132205</v>
          </cell>
          <cell r="J604">
            <v>19935</v>
          </cell>
          <cell r="K604">
            <v>7302</v>
          </cell>
          <cell r="M604">
            <v>82578</v>
          </cell>
        </row>
        <row r="605">
          <cell r="G605">
            <v>2993363</v>
          </cell>
          <cell r="H605">
            <v>1151803</v>
          </cell>
          <cell r="J605">
            <v>20025</v>
          </cell>
          <cell r="K605">
            <v>7411</v>
          </cell>
          <cell r="M605">
            <v>79473</v>
          </cell>
        </row>
        <row r="606">
          <cell r="G606">
            <v>2948251</v>
          </cell>
          <cell r="H606">
            <v>1161053</v>
          </cell>
          <cell r="J606">
            <v>19883</v>
          </cell>
          <cell r="K606">
            <v>7475</v>
          </cell>
          <cell r="M606">
            <v>81567</v>
          </cell>
        </row>
        <row r="607">
          <cell r="G607">
            <v>2847387</v>
          </cell>
          <cell r="H607">
            <v>1158407</v>
          </cell>
          <cell r="J607">
            <v>19883</v>
          </cell>
          <cell r="K607">
            <v>7475</v>
          </cell>
          <cell r="M607">
            <v>77259</v>
          </cell>
        </row>
        <row r="608">
          <cell r="G608">
            <v>2819341</v>
          </cell>
          <cell r="H608">
            <v>1142684</v>
          </cell>
          <cell r="J608">
            <v>20297</v>
          </cell>
          <cell r="K608">
            <v>7340</v>
          </cell>
          <cell r="M608">
            <v>82010</v>
          </cell>
        </row>
        <row r="609">
          <cell r="G609">
            <v>2832982</v>
          </cell>
          <cell r="H609">
            <v>1272866</v>
          </cell>
          <cell r="J609">
            <v>19778</v>
          </cell>
          <cell r="K609">
            <v>7402</v>
          </cell>
          <cell r="M609">
            <v>81580</v>
          </cell>
        </row>
        <row r="610">
          <cell r="G610">
            <v>3046880</v>
          </cell>
          <cell r="H610">
            <v>1360150</v>
          </cell>
          <cell r="J610">
            <v>20482</v>
          </cell>
          <cell r="K610">
            <v>7921</v>
          </cell>
          <cell r="M610">
            <v>81734</v>
          </cell>
        </row>
        <row r="611">
          <cell r="G611">
            <v>2951492</v>
          </cell>
          <cell r="H611">
            <v>1163076</v>
          </cell>
          <cell r="I611">
            <v>4114568</v>
          </cell>
          <cell r="J611">
            <v>19199</v>
          </cell>
          <cell r="K611">
            <v>6915</v>
          </cell>
          <cell r="L611">
            <v>26114</v>
          </cell>
          <cell r="M611">
            <v>68515</v>
          </cell>
        </row>
        <row r="612">
          <cell r="G612">
            <v>2585901</v>
          </cell>
          <cell r="H612">
            <v>1004110</v>
          </cell>
          <cell r="I612">
            <v>3590011</v>
          </cell>
          <cell r="J612">
            <v>16708</v>
          </cell>
          <cell r="K612">
            <v>6247</v>
          </cell>
          <cell r="L612">
            <v>22955</v>
          </cell>
          <cell r="M612">
            <v>66630</v>
          </cell>
        </row>
        <row r="613">
          <cell r="G613">
            <v>2636364</v>
          </cell>
          <cell r="H613">
            <v>1037792</v>
          </cell>
          <cell r="I613">
            <v>3674156</v>
          </cell>
          <cell r="J613">
            <v>20589</v>
          </cell>
          <cell r="K613">
            <v>7417</v>
          </cell>
          <cell r="L613">
            <v>28006</v>
          </cell>
          <cell r="M613">
            <v>81166</v>
          </cell>
        </row>
        <row r="614">
          <cell r="G614">
            <v>2631112</v>
          </cell>
          <cell r="H614">
            <v>1045541</v>
          </cell>
          <cell r="I614">
            <v>3676653</v>
          </cell>
          <cell r="J614">
            <v>17881</v>
          </cell>
          <cell r="K614">
            <v>6783</v>
          </cell>
          <cell r="L614">
            <v>24664</v>
          </cell>
          <cell r="M614">
            <v>52581</v>
          </cell>
        </row>
        <row r="615">
          <cell r="G615">
            <v>2994953</v>
          </cell>
          <cell r="H615">
            <v>1220795</v>
          </cell>
          <cell r="I615">
            <v>4215748</v>
          </cell>
          <cell r="J615">
            <v>19572</v>
          </cell>
          <cell r="K615">
            <v>7148</v>
          </cell>
          <cell r="L615">
            <v>26720</v>
          </cell>
          <cell r="M615">
            <v>76623</v>
          </cell>
        </row>
        <row r="616">
          <cell r="G616">
            <v>2744459</v>
          </cell>
          <cell r="H616">
            <v>1078723</v>
          </cell>
          <cell r="I616">
            <v>3823182</v>
          </cell>
          <cell r="J616">
            <v>18952</v>
          </cell>
          <cell r="K616">
            <v>6943</v>
          </cell>
          <cell r="L616">
            <v>25895</v>
          </cell>
          <cell r="M616">
            <v>73846</v>
          </cell>
        </row>
        <row r="617">
          <cell r="G617">
            <v>2773280</v>
          </cell>
          <cell r="H617">
            <v>1115313</v>
          </cell>
          <cell r="I617">
            <v>3888593</v>
          </cell>
          <cell r="J617">
            <v>19647</v>
          </cell>
          <cell r="K617">
            <v>7160</v>
          </cell>
          <cell r="L617">
            <v>26807</v>
          </cell>
          <cell r="M617">
            <v>70241</v>
          </cell>
        </row>
        <row r="618">
          <cell r="G618">
            <v>2827209</v>
          </cell>
          <cell r="H618">
            <v>1094415</v>
          </cell>
          <cell r="I618">
            <v>3921624</v>
          </cell>
          <cell r="J618">
            <v>19892</v>
          </cell>
          <cell r="K618">
            <v>7263</v>
          </cell>
          <cell r="L618">
            <v>27155</v>
          </cell>
          <cell r="M618">
            <v>71708</v>
          </cell>
        </row>
        <row r="619">
          <cell r="G619">
            <v>2711355</v>
          </cell>
          <cell r="H619">
            <v>992581</v>
          </cell>
          <cell r="I619">
            <v>3703936</v>
          </cell>
          <cell r="J619">
            <v>19112</v>
          </cell>
          <cell r="K619">
            <v>7008</v>
          </cell>
          <cell r="L619">
            <v>26120</v>
          </cell>
          <cell r="M619">
            <v>75870</v>
          </cell>
        </row>
        <row r="620">
          <cell r="G620">
            <v>2901098</v>
          </cell>
          <cell r="H620">
            <v>1126027</v>
          </cell>
          <cell r="I620">
            <v>4027125</v>
          </cell>
          <cell r="J620">
            <v>20297</v>
          </cell>
          <cell r="K620">
            <v>7340</v>
          </cell>
          <cell r="L620">
            <v>27637</v>
          </cell>
          <cell r="M620">
            <v>73841</v>
          </cell>
        </row>
        <row r="621">
          <cell r="G621">
            <v>3000848</v>
          </cell>
          <cell r="H621">
            <v>1154581</v>
          </cell>
          <cell r="I621">
            <v>4155429</v>
          </cell>
          <cell r="J621">
            <v>19476</v>
          </cell>
          <cell r="K621">
            <v>7280</v>
          </cell>
          <cell r="L621">
            <v>26756</v>
          </cell>
          <cell r="M621">
            <v>77879</v>
          </cell>
        </row>
        <row r="622">
          <cell r="G622">
            <v>3112940</v>
          </cell>
          <cell r="H622">
            <v>1300294</v>
          </cell>
          <cell r="I622">
            <v>4413234</v>
          </cell>
          <cell r="J622">
            <v>20409</v>
          </cell>
          <cell r="K622">
            <v>7560</v>
          </cell>
          <cell r="L622">
            <v>27969</v>
          </cell>
          <cell r="M622">
            <v>77599</v>
          </cell>
        </row>
        <row r="623">
          <cell r="G623">
            <v>2689319</v>
          </cell>
          <cell r="H623">
            <v>1070755</v>
          </cell>
          <cell r="J623">
            <v>19214</v>
          </cell>
          <cell r="K623">
            <v>6540</v>
          </cell>
          <cell r="M623">
            <v>53895</v>
          </cell>
        </row>
        <row r="624">
          <cell r="G624">
            <v>2583068</v>
          </cell>
          <cell r="H624">
            <v>940607</v>
          </cell>
          <cell r="J624">
            <v>18206</v>
          </cell>
          <cell r="K624">
            <v>5994</v>
          </cell>
          <cell r="M624">
            <v>58362</v>
          </cell>
        </row>
        <row r="625">
          <cell r="G625">
            <v>2645054</v>
          </cell>
          <cell r="H625">
            <v>976142</v>
          </cell>
          <cell r="J625">
            <v>19320</v>
          </cell>
          <cell r="K625">
            <v>6601</v>
          </cell>
          <cell r="M625">
            <v>66486</v>
          </cell>
        </row>
        <row r="626">
          <cell r="G626">
            <v>2653397</v>
          </cell>
          <cell r="H626">
            <v>974081</v>
          </cell>
          <cell r="J626">
            <v>18626</v>
          </cell>
          <cell r="K626">
            <v>6546</v>
          </cell>
          <cell r="M626">
            <v>42184</v>
          </cell>
        </row>
        <row r="627">
          <cell r="G627">
            <v>2865163</v>
          </cell>
          <cell r="H627">
            <v>1092717</v>
          </cell>
          <cell r="J627">
            <v>19533</v>
          </cell>
          <cell r="K627">
            <v>6844</v>
          </cell>
          <cell r="M627">
            <v>61897</v>
          </cell>
        </row>
        <row r="628">
          <cell r="G628">
            <v>2550670</v>
          </cell>
          <cell r="H628">
            <v>990988</v>
          </cell>
          <cell r="J628">
            <v>18824</v>
          </cell>
          <cell r="K628">
            <v>6657</v>
          </cell>
          <cell r="M628">
            <v>62519</v>
          </cell>
        </row>
        <row r="629">
          <cell r="G629">
            <v>2765306</v>
          </cell>
          <cell r="H629">
            <v>1043167</v>
          </cell>
          <cell r="J629">
            <v>19647</v>
          </cell>
          <cell r="K629">
            <v>7160</v>
          </cell>
          <cell r="M629">
            <v>60800</v>
          </cell>
        </row>
        <row r="630">
          <cell r="G630">
            <v>2756693</v>
          </cell>
          <cell r="H630">
            <v>1022530</v>
          </cell>
          <cell r="J630">
            <v>19434</v>
          </cell>
          <cell r="K630">
            <v>6737</v>
          </cell>
          <cell r="M630">
            <v>61138</v>
          </cell>
        </row>
        <row r="631">
          <cell r="G631">
            <v>2686052</v>
          </cell>
          <cell r="H631">
            <v>960654</v>
          </cell>
          <cell r="J631">
            <v>18825</v>
          </cell>
          <cell r="K631">
            <v>6611</v>
          </cell>
          <cell r="M631">
            <v>61032</v>
          </cell>
        </row>
        <row r="632">
          <cell r="G632">
            <v>2636181</v>
          </cell>
          <cell r="H632">
            <v>954001</v>
          </cell>
          <cell r="J632">
            <v>19221</v>
          </cell>
          <cell r="K632">
            <v>6818</v>
          </cell>
          <cell r="M632">
            <v>68100</v>
          </cell>
        </row>
        <row r="633">
          <cell r="G633">
            <v>2669327</v>
          </cell>
          <cell r="H633">
            <v>1037227</v>
          </cell>
          <cell r="J633">
            <v>17422</v>
          </cell>
          <cell r="K633">
            <v>6519</v>
          </cell>
          <cell r="M633">
            <v>62618</v>
          </cell>
        </row>
        <row r="634">
          <cell r="G634">
            <v>2955907</v>
          </cell>
          <cell r="H634">
            <v>1161549</v>
          </cell>
          <cell r="J634">
            <v>19300</v>
          </cell>
          <cell r="K634">
            <v>6913</v>
          </cell>
          <cell r="M634">
            <v>68058</v>
          </cell>
        </row>
        <row r="635">
          <cell r="G635">
            <v>2311493</v>
          </cell>
          <cell r="H635">
            <v>1103871</v>
          </cell>
          <cell r="J635">
            <v>16516</v>
          </cell>
          <cell r="K635">
            <v>6449</v>
          </cell>
          <cell r="L635">
            <v>22965</v>
          </cell>
          <cell r="M635">
            <v>55063</v>
          </cell>
        </row>
        <row r="636">
          <cell r="G636">
            <v>2254077</v>
          </cell>
          <cell r="H636">
            <v>933791</v>
          </cell>
          <cell r="J636">
            <v>15665</v>
          </cell>
          <cell r="K636">
            <v>5750</v>
          </cell>
          <cell r="L636">
            <v>21415</v>
          </cell>
          <cell r="M636">
            <v>54154</v>
          </cell>
        </row>
        <row r="637">
          <cell r="G637">
            <v>2298593</v>
          </cell>
          <cell r="H637">
            <v>970146</v>
          </cell>
          <cell r="J637">
            <v>17659</v>
          </cell>
          <cell r="K637">
            <v>6365</v>
          </cell>
          <cell r="L637">
            <v>24024</v>
          </cell>
          <cell r="M637">
            <v>62724</v>
          </cell>
        </row>
        <row r="638">
          <cell r="G638">
            <v>2418961</v>
          </cell>
          <cell r="H638">
            <v>923386</v>
          </cell>
          <cell r="J638">
            <v>17304</v>
          </cell>
          <cell r="K638">
            <v>6206</v>
          </cell>
          <cell r="L638">
            <v>23510</v>
          </cell>
          <cell r="M638">
            <v>59004</v>
          </cell>
        </row>
        <row r="639">
          <cell r="G639">
            <v>2567032</v>
          </cell>
          <cell r="H639">
            <v>1062631</v>
          </cell>
          <cell r="J639">
            <v>17988</v>
          </cell>
          <cell r="K639">
            <v>6518</v>
          </cell>
          <cell r="L639">
            <v>24506</v>
          </cell>
          <cell r="M639">
            <v>60538</v>
          </cell>
        </row>
        <row r="640">
          <cell r="G640">
            <v>2268381</v>
          </cell>
          <cell r="H640">
            <v>962429</v>
          </cell>
          <cell r="J640">
            <v>17331</v>
          </cell>
          <cell r="K640">
            <v>6208</v>
          </cell>
          <cell r="L640">
            <v>23539</v>
          </cell>
          <cell r="M640">
            <v>59757</v>
          </cell>
        </row>
        <row r="641">
          <cell r="G641">
            <v>2329524</v>
          </cell>
          <cell r="H641">
            <v>917011</v>
          </cell>
          <cell r="J641">
            <v>18168</v>
          </cell>
          <cell r="K641">
            <v>6315</v>
          </cell>
          <cell r="L641">
            <v>24483</v>
          </cell>
          <cell r="M641">
            <v>56517</v>
          </cell>
        </row>
        <row r="642">
          <cell r="G642">
            <v>2392728</v>
          </cell>
          <cell r="H642">
            <v>937074</v>
          </cell>
          <cell r="J642">
            <v>18340</v>
          </cell>
          <cell r="K642">
            <v>6310</v>
          </cell>
          <cell r="L642">
            <v>24650</v>
          </cell>
          <cell r="M642">
            <v>57884</v>
          </cell>
        </row>
        <row r="643">
          <cell r="G643">
            <v>2372492</v>
          </cell>
          <cell r="H643">
            <v>8666693</v>
          </cell>
          <cell r="J643">
            <v>18036</v>
          </cell>
          <cell r="K643">
            <v>6193</v>
          </cell>
          <cell r="L643">
            <v>24229</v>
          </cell>
          <cell r="M643">
            <v>57223</v>
          </cell>
        </row>
        <row r="644">
          <cell r="G644">
            <v>2419774</v>
          </cell>
          <cell r="H644">
            <v>882638</v>
          </cell>
          <cell r="J644">
            <v>18696</v>
          </cell>
          <cell r="K644">
            <v>6443</v>
          </cell>
          <cell r="L644">
            <v>25139</v>
          </cell>
          <cell r="M644">
            <v>60336</v>
          </cell>
        </row>
        <row r="645">
          <cell r="G645">
            <v>2589297</v>
          </cell>
          <cell r="H645">
            <v>995263</v>
          </cell>
          <cell r="J645">
            <v>18475</v>
          </cell>
          <cell r="K645">
            <v>6516</v>
          </cell>
          <cell r="L645">
            <v>24991</v>
          </cell>
          <cell r="M645">
            <v>56585</v>
          </cell>
        </row>
        <row r="646">
          <cell r="G646">
            <v>2770303</v>
          </cell>
          <cell r="H646">
            <v>1089789</v>
          </cell>
          <cell r="J646">
            <v>19175</v>
          </cell>
          <cell r="K646">
            <v>6537</v>
          </cell>
          <cell r="L646">
            <v>25712</v>
          </cell>
          <cell r="M646">
            <v>58662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C0354-AA77-4F41-AEEA-FD790CA15FF0}" name="Table1" displayName="Table1" ref="A1:O56" totalsRowShown="0" headerRowDxfId="16" dataDxfId="15" headerRowCellStyle="Comma" dataCellStyle="Comma">
  <autoFilter ref="A1:O56" xr:uid="{B25C0354-AA77-4F41-AEEA-FD790CA15FF0}"/>
  <tableColumns count="15">
    <tableColumn id="1" xr3:uid="{616BF14E-A53B-4CC3-819E-96C20F1992DE}" name="Year" dataDxfId="14" dataCellStyle="Comma"/>
    <tableColumn id="2" xr3:uid="{741CEF44-D80A-40FD-AE9D-3EEF8303C859}" name="Airport_Name" dataDxfId="13" dataCellStyle="Comma"/>
    <tableColumn id="3" xr3:uid="{D7C241A6-2549-480F-BE40-54D61FEA78EF}" name="IATA_Code" dataDxfId="12" dataCellStyle="Comma"/>
    <tableColumn id="4" xr3:uid="{3B7E4CD1-4D05-498E-99D4-A0777D2EA3A7}" name="State" dataDxfId="11" dataCellStyle="Comma"/>
    <tableColumn id="5" xr3:uid="{16CDC2A2-C450-4A25-84CF-24A328F1A712}" name="Region" dataDxfId="10" dataCellStyle="Comma"/>
    <tableColumn id="6" xr3:uid="{C7E46E24-BEB7-45F2-9D5D-88EE5FBF0D8A}" name="Domestic_Passengers" dataDxfId="9" dataCellStyle="Comma"/>
    <tableColumn id="7" xr3:uid="{F6003213-6356-4DF9-B8E4-8664AF4C3643}" name="International_Passengers" dataDxfId="8" dataCellStyle="Comma"/>
    <tableColumn id="8" xr3:uid="{A35E3D94-53C3-4C2D-8392-BB1DA47D198D}" name="Total_Passengers" dataDxfId="7" dataCellStyle="Comma"/>
    <tableColumn id="9" xr3:uid="{312EB378-334D-4C6D-ABAB-1917F6C7DB9A}" name="Domestic_Aircraft" dataDxfId="6" dataCellStyle="Comma"/>
    <tableColumn id="10" xr3:uid="{56E68AA8-8537-4FAE-8B9D-49C1BD90F2D1}" name="International_Aircraft" dataDxfId="5" dataCellStyle="Comma"/>
    <tableColumn id="11" xr3:uid="{7B2B2F16-DDC0-4D8C-ACBE-2B66FFF3E68A}" name="Total_Aircraft_Movement" dataDxfId="4" dataCellStyle="Comma"/>
    <tableColumn id="12" xr3:uid="{5F03910D-C828-4E5E-9ACC-948EF05F1432}" name="Cargo_Tonnes" dataDxfId="3" dataCellStyle="Comma"/>
    <tableColumn id="13" xr3:uid="{9797CC72-F2D5-4CB4-A31B-FD9EC582057C}" name="Passenger_Growth_%" dataDxfId="2" dataCellStyle="Percent"/>
    <tableColumn id="14" xr3:uid="{BF2235D5-BE71-420B-8083-5DF57FA07DA9}" name="Aircraft_Growth_%" dataDxfId="1" dataCellStyle="Comma"/>
    <tableColumn id="15" xr3:uid="{5DDDB602-D967-445B-9874-84E961B567FB}" name="Cargo_Growth_%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B131-72F2-4B73-8B9B-F102227A2F7E}">
  <dimension ref="A1:O56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sqref="A1:O56"/>
    </sheetView>
  </sheetViews>
  <sheetFormatPr defaultRowHeight="14.4" x14ac:dyDescent="0.3"/>
  <cols>
    <col min="1" max="1" width="9.77734375" style="1" bestFit="1" customWidth="1"/>
    <col min="2" max="2" width="14.44140625" style="1" customWidth="1"/>
    <col min="3" max="3" width="11.6640625" style="1" customWidth="1"/>
    <col min="4" max="4" width="11.21875" style="1" customWidth="1"/>
    <col min="5" max="5" width="8.88671875" style="1"/>
    <col min="6" max="6" width="21" style="1" customWidth="1"/>
    <col min="7" max="7" width="23.6640625" style="1" customWidth="1"/>
    <col min="8" max="8" width="17.109375" style="1" customWidth="1"/>
    <col min="9" max="9" width="17.88671875" style="1" customWidth="1"/>
    <col min="10" max="10" width="20.5546875" style="1" customWidth="1"/>
    <col min="11" max="11" width="23.44140625" style="1" customWidth="1"/>
    <col min="12" max="12" width="14.5546875" style="1" customWidth="1"/>
    <col min="13" max="13" width="20.44140625" style="1" customWidth="1"/>
    <col min="14" max="14" width="18.33203125" style="1" customWidth="1"/>
    <col min="15" max="15" width="17.44140625" style="1" customWidth="1"/>
    <col min="16" max="16" width="19.33203125" style="1" customWidth="1"/>
    <col min="17" max="16384" width="8.88671875" style="1"/>
  </cols>
  <sheetData>
    <row r="1" spans="1:15" s="2" customFormat="1" ht="15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6">
        <v>2025</v>
      </c>
      <c r="B2" s="6" t="s">
        <v>15</v>
      </c>
      <c r="C2" s="6" t="s">
        <v>16</v>
      </c>
      <c r="D2" s="7" t="s">
        <v>17</v>
      </c>
      <c r="E2" s="7" t="s">
        <v>18</v>
      </c>
      <c r="F2" s="6">
        <f>SUM([1]Copy!$G$2:$G$10)</f>
        <v>27275923</v>
      </c>
      <c r="G2" s="6">
        <f>SUM([1]Copy!$H$2:$H$11)</f>
        <v>5473525</v>
      </c>
      <c r="H2" s="6">
        <f>SUM([1]Copy!$I$2:$I$10)</f>
        <v>32323853</v>
      </c>
      <c r="I2" s="6">
        <f>SUM([1]Copy!$J$2:$J$10)</f>
        <v>161034</v>
      </c>
      <c r="J2" s="6">
        <f>SUM([1]Copy!$K$2:$K$10)</f>
        <v>45745</v>
      </c>
      <c r="K2" s="6">
        <f>SUM([1]Copy!$L$2:$L$10)</f>
        <v>206779</v>
      </c>
      <c r="L2" s="6">
        <f>SUM([1]Copy!$M$2:$M$10)</f>
        <v>336739.8</v>
      </c>
      <c r="M2" s="4">
        <f>(H2-H7)/H7*100</f>
        <v>-20.630770203500596</v>
      </c>
      <c r="N2" s="3">
        <f>(K2-K7)/K7*100</f>
        <v>-18.402370833382658</v>
      </c>
      <c r="O2" s="3">
        <f>(L2-L7)/L7*100</f>
        <v>32.881817428466569</v>
      </c>
    </row>
    <row r="3" spans="1:15" x14ac:dyDescent="0.3">
      <c r="A3" s="6">
        <v>2025</v>
      </c>
      <c r="B3" s="6" t="s">
        <v>19</v>
      </c>
      <c r="C3" s="6" t="s">
        <v>20</v>
      </c>
      <c r="D3" s="6" t="s">
        <v>21</v>
      </c>
      <c r="E3" s="6" t="s">
        <v>18</v>
      </c>
      <c r="F3" s="6">
        <f>SUM([1]Copy!$G$131:$G$139)</f>
        <v>12729433</v>
      </c>
      <c r="G3" s="6">
        <f>SUM([1]Copy!$H$131:$H$139)</f>
        <v>4612286</v>
      </c>
      <c r="H3" s="6">
        <f>SUM([1]Copy!$I$131:$I$139)</f>
        <v>17341719</v>
      </c>
      <c r="I3" s="6">
        <f>SUM([1]Copy!$J$131:$J$139)</f>
        <v>84939</v>
      </c>
      <c r="J3" s="6">
        <f>SUM([1]Copy!$K$131:$K$139)</f>
        <v>37007</v>
      </c>
      <c r="K3" s="6">
        <f>SUM([1]Copy!$L$131:$L$139)</f>
        <v>121946</v>
      </c>
      <c r="L3" s="6">
        <f>SUM([1]Copy!$M$131:$M$139)</f>
        <v>302229.89999999997</v>
      </c>
      <c r="M3" s="4">
        <f t="shared" ref="M3" si="0">(H3-H8)/H8*100</f>
        <v>-21.134614870372527</v>
      </c>
      <c r="N3" s="3">
        <f>(K3-K8)/K8*100</f>
        <v>-19.67407485475648</v>
      </c>
      <c r="O3" s="3">
        <f t="shared" ref="O3:O51" si="1">(L3-L8)/L8*100</f>
        <v>99.079070441461241</v>
      </c>
    </row>
    <row r="4" spans="1:15" x14ac:dyDescent="0.3">
      <c r="A4" s="6">
        <v>2025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f>SUM([1]Copy!$G$260:$G$268)</f>
        <v>41347300</v>
      </c>
      <c r="G4" s="6">
        <f>SUM([1]Copy!$H$260:$H$268)</f>
        <v>15951641</v>
      </c>
      <c r="H4" s="6">
        <f>SUM([1]Copy!$I$260:$I$268)</f>
        <v>57298941</v>
      </c>
      <c r="I4" s="6">
        <f>SUM([1]Copy!$J$260:$J$268)</f>
        <v>240323</v>
      </c>
      <c r="J4" s="6">
        <f>SUM([1]Copy!$K$260:$K$268)</f>
        <v>103020</v>
      </c>
      <c r="K4" s="6">
        <f>SUM([1]Copy!$L$260:$L$268)</f>
        <v>343343</v>
      </c>
      <c r="L4" s="6">
        <f>SUM([1]Copy!$M$260:$M$268)</f>
        <v>778332.6</v>
      </c>
      <c r="M4" s="4">
        <f>(H4-H9)/H9*100</f>
        <v>-26.370692711928527</v>
      </c>
      <c r="N4" s="3">
        <f t="shared" ref="N4:N51" si="2">(K4-K9)/K9*100</f>
        <v>-25.828465513367782</v>
      </c>
      <c r="O4" s="3">
        <f t="shared" si="1"/>
        <v>-29.533160217118947</v>
      </c>
    </row>
    <row r="5" spans="1:15" x14ac:dyDescent="0.3">
      <c r="A5" s="6">
        <v>2025</v>
      </c>
      <c r="B5" s="6" t="s">
        <v>26</v>
      </c>
      <c r="C5" s="6" t="s">
        <v>27</v>
      </c>
      <c r="D5" s="7" t="s">
        <v>28</v>
      </c>
      <c r="E5" s="7" t="s">
        <v>18</v>
      </c>
      <c r="F5" s="6">
        <f>SUM([1]Copy!$G$389:$G$397)</f>
        <v>19212691</v>
      </c>
      <c r="G5" s="6">
        <f>SUM([1]Copy!$H$389:$H$398)</f>
        <v>4320353</v>
      </c>
      <c r="H5" s="6">
        <f>SUM([1]Copy!$I$389:$I$397)</f>
        <v>23149889</v>
      </c>
      <c r="I5" s="6">
        <f>SUM([1]Copy!$J$389:$J$397)</f>
        <v>124970</v>
      </c>
      <c r="J5" s="6">
        <f>SUM([1]Copy!$K$389:$K$397)</f>
        <v>35389</v>
      </c>
      <c r="K5" s="6">
        <f>SUM([1]Copy!$L$389:$L$397)</f>
        <v>160359</v>
      </c>
      <c r="L5" s="6">
        <f>SUM([1]Copy!$M$389:$M$397)</f>
        <v>123483.29999999999</v>
      </c>
      <c r="M5" s="4">
        <f>(H5-H10)/H10*100</f>
        <v>-16.941246826575327</v>
      </c>
      <c r="N5" s="3">
        <f t="shared" si="2"/>
        <v>-17.870331009828373</v>
      </c>
      <c r="O5" s="3">
        <f t="shared" si="1"/>
        <v>-25.188931068785823</v>
      </c>
    </row>
    <row r="6" spans="1:15" x14ac:dyDescent="0.3">
      <c r="A6" s="6">
        <v>2025</v>
      </c>
      <c r="B6" s="6" t="s">
        <v>29</v>
      </c>
      <c r="C6" s="6" t="s">
        <v>30</v>
      </c>
      <c r="D6" s="7" t="s">
        <v>31</v>
      </c>
      <c r="E6" s="6" t="s">
        <v>32</v>
      </c>
      <c r="F6" s="6">
        <f>SUM([1]Copy!$G$518:$G$527)</f>
        <v>32712033</v>
      </c>
      <c r="G6" s="6">
        <f>SUM([1]Copy!$H$518:$H$527)</f>
        <v>13249601</v>
      </c>
      <c r="H6" s="6">
        <f>SUM([1]Copy!$I$518:$I$526)</f>
        <v>41134093</v>
      </c>
      <c r="I6" s="6">
        <f>SUM([1]Copy!$J$518:$J$526)</f>
        <v>166833</v>
      </c>
      <c r="J6" s="6">
        <f>SUM([1]Copy!$K$518:$K$526)</f>
        <v>79524</v>
      </c>
      <c r="K6" s="6">
        <f>SUM([1]Copy!$L$518:$L$526)</f>
        <v>246357</v>
      </c>
      <c r="L6" s="6">
        <f>SUM([1]Copy!$M$518:$M$526)</f>
        <v>657139.20000000007</v>
      </c>
      <c r="M6" s="4">
        <f>(H6-H11)/H11*100</f>
        <v>-24.966429329650602</v>
      </c>
      <c r="N6" s="3">
        <f t="shared" si="2"/>
        <v>-25.629647071609053</v>
      </c>
      <c r="O6" s="3">
        <f t="shared" si="1"/>
        <v>-26.522194653693177</v>
      </c>
    </row>
    <row r="7" spans="1:15" x14ac:dyDescent="0.3">
      <c r="A7" s="6">
        <v>2024</v>
      </c>
      <c r="B7" s="6" t="s">
        <v>15</v>
      </c>
      <c r="C7" s="6" t="s">
        <v>16</v>
      </c>
      <c r="D7" s="7" t="s">
        <v>17</v>
      </c>
      <c r="E7" s="7" t="s">
        <v>18</v>
      </c>
      <c r="F7" s="6">
        <f>SUM([1]Copy!$G$11:$G$22)</f>
        <v>35280595</v>
      </c>
      <c r="G7" s="6">
        <f>SUM([1]Copy!$H$11:$H$22)</f>
        <v>5445330</v>
      </c>
      <c r="H7" s="6">
        <f t="shared" ref="H7:H22" si="3">F7+G7</f>
        <v>40725925</v>
      </c>
      <c r="I7" s="6">
        <f>SUM([1]Copy!$J$11:$J$22)</f>
        <v>220773</v>
      </c>
      <c r="J7" s="6">
        <f>SUM([1]Copy!$K$11:$K$22)</f>
        <v>32640</v>
      </c>
      <c r="K7" s="6">
        <f>I7+J7</f>
        <v>253413</v>
      </c>
      <c r="L7" s="6">
        <f>SUM([1]Copy!$L$11:$L$22)</f>
        <v>253413</v>
      </c>
      <c r="M7" s="4">
        <f t="shared" ref="M7:M51" si="4">(H7-H12)/H12*100</f>
        <v>9.5668890328523712</v>
      </c>
      <c r="N7" s="3">
        <f t="shared" si="2"/>
        <v>3.8888683909530313</v>
      </c>
      <c r="O7" s="3">
        <f t="shared" si="1"/>
        <v>-34.521988527724666</v>
      </c>
    </row>
    <row r="8" spans="1:15" x14ac:dyDescent="0.3">
      <c r="A8" s="6">
        <v>2024</v>
      </c>
      <c r="B8" s="6" t="s">
        <v>19</v>
      </c>
      <c r="C8" s="6" t="s">
        <v>20</v>
      </c>
      <c r="D8" s="6" t="s">
        <v>21</v>
      </c>
      <c r="E8" s="6" t="s">
        <v>18</v>
      </c>
      <c r="F8" s="6">
        <f>SUM([1]Copy!$G$140:$G$151)</f>
        <v>16121418</v>
      </c>
      <c r="G8" s="6">
        <f>SUM([1]Copy!$H$140:$H$151)</f>
        <v>5867594</v>
      </c>
      <c r="H8" s="6">
        <f t="shared" si="3"/>
        <v>21989012</v>
      </c>
      <c r="I8" s="6">
        <f>SUM([1]Copy!$J$140:$J$151)</f>
        <v>112780</v>
      </c>
      <c r="J8" s="6">
        <f>SUM([1]Copy!$K$140:$K$151)</f>
        <v>39034</v>
      </c>
      <c r="K8" s="6">
        <f>I8+J8</f>
        <v>151814</v>
      </c>
      <c r="L8" s="6">
        <f>SUM([1]Copy!$L$140:$L$151)</f>
        <v>151814</v>
      </c>
      <c r="M8" s="4">
        <f t="shared" si="4"/>
        <v>5.5300063987939758</v>
      </c>
      <c r="N8" s="3">
        <f t="shared" si="2"/>
        <v>3.9757823147888143</v>
      </c>
      <c r="O8" s="3">
        <f t="shared" si="1"/>
        <v>-49.199633387687165</v>
      </c>
    </row>
    <row r="9" spans="1:15" x14ac:dyDescent="0.3">
      <c r="A9" s="6">
        <v>2024</v>
      </c>
      <c r="B9" s="6" t="s">
        <v>22</v>
      </c>
      <c r="C9" s="6" t="s">
        <v>23</v>
      </c>
      <c r="D9" s="6" t="s">
        <v>24</v>
      </c>
      <c r="E9" s="6" t="s">
        <v>25</v>
      </c>
      <c r="F9" s="6">
        <f>SUM([1]Copy!$G$269:$G$280)</f>
        <v>56649824</v>
      </c>
      <c r="G9" s="6">
        <f>SUM([1]Copy!$H$269:$H$280)</f>
        <v>21171010</v>
      </c>
      <c r="H9" s="6">
        <f t="shared" si="3"/>
        <v>77820834</v>
      </c>
      <c r="I9" s="6">
        <f>SUM([1]Copy!$J$269:$J$280)</f>
        <v>349251</v>
      </c>
      <c r="J9" s="6">
        <f>SUM([1]Copy!$K$269:$K$280)</f>
        <v>113653</v>
      </c>
      <c r="K9" s="6">
        <f>I9+J9</f>
        <v>462904</v>
      </c>
      <c r="L9" s="6">
        <f>SUM([1]Copy!$M$269:$M$280)</f>
        <v>1104537.3999999999</v>
      </c>
      <c r="M9" s="4">
        <f t="shared" si="4"/>
        <v>10.624917613252752</v>
      </c>
      <c r="N9" s="3">
        <f t="shared" si="2"/>
        <v>3.805961447036768</v>
      </c>
      <c r="O9" s="3">
        <f t="shared" si="1"/>
        <v>25.249316510011088</v>
      </c>
    </row>
    <row r="10" spans="1:15" x14ac:dyDescent="0.3">
      <c r="A10" s="6">
        <v>2024</v>
      </c>
      <c r="B10" s="6" t="s">
        <v>26</v>
      </c>
      <c r="C10" s="6" t="s">
        <v>27</v>
      </c>
      <c r="D10" s="7" t="s">
        <v>28</v>
      </c>
      <c r="E10" s="7" t="s">
        <v>18</v>
      </c>
      <c r="F10" s="6">
        <f>SUM([1]Copy!$G$398:$G$409)</f>
        <v>23272621</v>
      </c>
      <c r="G10" s="6">
        <f>SUM([1]Copy!$H$398:$H$409)</f>
        <v>4599082</v>
      </c>
      <c r="H10" s="6">
        <f t="shared" si="3"/>
        <v>27871703</v>
      </c>
      <c r="I10" s="6">
        <f>SUM([1]Copy!$J$398:$J$409)</f>
        <v>165365</v>
      </c>
      <c r="J10" s="6">
        <f>SUM([1]Copy!$K$398:$K$409)</f>
        <v>29886</v>
      </c>
      <c r="K10" s="6">
        <f>SUM(I10,J10)</f>
        <v>195251</v>
      </c>
      <c r="L10" s="6">
        <f>SUM([1]Copy!$M$398:$M$409)</f>
        <v>165060.20000000001</v>
      </c>
      <c r="M10" s="4">
        <f t="shared" si="4"/>
        <v>14.965739663017107</v>
      </c>
      <c r="N10" s="3">
        <f t="shared" si="2"/>
        <v>13.549711547408579</v>
      </c>
      <c r="O10" s="3">
        <f t="shared" si="1"/>
        <v>22.376500418893979</v>
      </c>
    </row>
    <row r="11" spans="1:15" x14ac:dyDescent="0.3">
      <c r="A11" s="6">
        <v>2024</v>
      </c>
      <c r="B11" s="6" t="s">
        <v>29</v>
      </c>
      <c r="C11" s="6" t="s">
        <v>30</v>
      </c>
      <c r="D11" s="7" t="s">
        <v>31</v>
      </c>
      <c r="E11" s="6" t="s">
        <v>32</v>
      </c>
      <c r="F11" s="6">
        <f>SUM([1]Copy!$G$527:$G$538)</f>
        <v>39423173</v>
      </c>
      <c r="G11" s="6">
        <f>SUM([1]Copy!$H$527:$H$538)</f>
        <v>15397746</v>
      </c>
      <c r="H11" s="6">
        <f t="shared" si="3"/>
        <v>54820919</v>
      </c>
      <c r="I11" s="6">
        <f>SUM([1]Copy!$J$527:$J$538)</f>
        <v>242243</v>
      </c>
      <c r="J11" s="6">
        <f>SUM([1]Copy!$K$527:$K$538)</f>
        <v>89014</v>
      </c>
      <c r="K11" s="6">
        <f>I11+J11</f>
        <v>331257</v>
      </c>
      <c r="L11" s="6">
        <f>SUM([1]Copy!$M$527:$M$538)</f>
        <v>894337</v>
      </c>
      <c r="M11" s="4">
        <f t="shared" si="4"/>
        <v>6.2643983713790456</v>
      </c>
      <c r="N11" s="3">
        <f t="shared" si="2"/>
        <v>3.2348843949550758</v>
      </c>
      <c r="O11" s="3">
        <f t="shared" si="1"/>
        <v>13.016946153943362</v>
      </c>
    </row>
    <row r="12" spans="1:15" x14ac:dyDescent="0.3">
      <c r="A12" s="6">
        <v>2023</v>
      </c>
      <c r="B12" s="6" t="s">
        <v>15</v>
      </c>
      <c r="C12" s="6" t="s">
        <v>16</v>
      </c>
      <c r="D12" s="7" t="s">
        <v>17</v>
      </c>
      <c r="E12" s="7" t="s">
        <v>18</v>
      </c>
      <c r="F12" s="6">
        <f>SUM([1]Copy!$G$23:$G$34)</f>
        <v>32659456</v>
      </c>
      <c r="G12" s="6">
        <f>SUM([1]Copy!$H$23:$H$34)</f>
        <v>4510464</v>
      </c>
      <c r="H12" s="6">
        <f t="shared" si="3"/>
        <v>37169920</v>
      </c>
      <c r="I12" s="6">
        <f>SUM([1]Copy!$J$23:$J$34)</f>
        <v>216951</v>
      </c>
      <c r="J12" s="6">
        <f>SUM([1]Copy!$K$23:$K$34)</f>
        <v>26976</v>
      </c>
      <c r="K12" s="6">
        <f>I12+J12</f>
        <v>243927</v>
      </c>
      <c r="L12" s="6">
        <f>SUM([1]Copy!$M$23:$M$34)</f>
        <v>387020</v>
      </c>
      <c r="M12" s="4">
        <f t="shared" si="4"/>
        <v>35.144587385816301</v>
      </c>
      <c r="N12" s="3">
        <f t="shared" si="2"/>
        <v>21.775357073321718</v>
      </c>
      <c r="O12" s="3">
        <f t="shared" si="1"/>
        <v>-6.2167565275337733</v>
      </c>
    </row>
    <row r="13" spans="1:15" x14ac:dyDescent="0.3">
      <c r="A13" s="6">
        <v>2023</v>
      </c>
      <c r="B13" s="6" t="s">
        <v>19</v>
      </c>
      <c r="C13" s="6" t="s">
        <v>20</v>
      </c>
      <c r="D13" s="6" t="s">
        <v>21</v>
      </c>
      <c r="E13" s="6" t="s">
        <v>18</v>
      </c>
      <c r="F13" s="6">
        <f>SUM([1]Copy!$G$152:$G$163)</f>
        <v>15123566</v>
      </c>
      <c r="G13" s="6">
        <f>SUM([1]Copy!$H$152:$H$163)</f>
        <v>5713173</v>
      </c>
      <c r="H13" s="6">
        <f t="shared" si="3"/>
        <v>20836739</v>
      </c>
      <c r="I13" s="6">
        <f>SUM([1]Copy!$J$152:$J$163)</f>
        <v>109205</v>
      </c>
      <c r="J13" s="6">
        <f>SUM([1]Copy!$K$152:$K$163)</f>
        <v>36804</v>
      </c>
      <c r="K13" s="6">
        <f>I13+J13</f>
        <v>146009</v>
      </c>
      <c r="L13" s="6">
        <f>SUM([1]Copy!$M$152:$M$163)</f>
        <v>298844.3</v>
      </c>
      <c r="M13" s="4">
        <f t="shared" si="4"/>
        <v>0</v>
      </c>
      <c r="N13" s="3">
        <f t="shared" si="2"/>
        <v>0</v>
      </c>
      <c r="O13" s="3">
        <f t="shared" si="1"/>
        <v>0</v>
      </c>
    </row>
    <row r="14" spans="1:15" x14ac:dyDescent="0.3">
      <c r="A14" s="6">
        <v>2023</v>
      </c>
      <c r="B14" s="6" t="s">
        <v>22</v>
      </c>
      <c r="C14" s="6" t="s">
        <v>23</v>
      </c>
      <c r="D14" s="6" t="s">
        <v>24</v>
      </c>
      <c r="E14" s="6" t="s">
        <v>25</v>
      </c>
      <c r="F14" s="6">
        <f>SUM([1]Copy!$G$281:$G$292)</f>
        <v>53699985</v>
      </c>
      <c r="G14" s="6">
        <f>SUM([1]Copy!$H$281:$H$291)</f>
        <v>16646584</v>
      </c>
      <c r="H14" s="6">
        <f t="shared" si="3"/>
        <v>70346569</v>
      </c>
      <c r="I14" s="6">
        <f>SUM([1]Copy!$J$281:$J$292)</f>
        <v>337324</v>
      </c>
      <c r="J14" s="6">
        <f>SUM([1]Copy!$K$281:$K$293)</f>
        <v>108608</v>
      </c>
      <c r="K14" s="6">
        <f>SUM(I14,J14)</f>
        <v>445932</v>
      </c>
      <c r="L14" s="6">
        <f>SUM([1]Copy!$M$281:$M$292)</f>
        <v>881871</v>
      </c>
      <c r="M14" s="4">
        <f t="shared" si="4"/>
        <v>18.249254489076613</v>
      </c>
      <c r="N14" s="3">
        <f t="shared" si="2"/>
        <v>9.1646164579737821</v>
      </c>
      <c r="O14" s="3">
        <f t="shared" si="1"/>
        <v>-1.8743407261025729</v>
      </c>
    </row>
    <row r="15" spans="1:15" x14ac:dyDescent="0.3">
      <c r="A15" s="6">
        <v>2023</v>
      </c>
      <c r="B15" s="6" t="s">
        <v>26</v>
      </c>
      <c r="C15" s="6" t="s">
        <v>27</v>
      </c>
      <c r="D15" s="7" t="s">
        <v>28</v>
      </c>
      <c r="E15" s="7" t="s">
        <v>18</v>
      </c>
      <c r="F15" s="6">
        <f>SUM([1]Copy!$G$410:$G$421)</f>
        <v>20173181</v>
      </c>
      <c r="G15" s="6">
        <f>SUM([1]Copy!$H$410:$H$421)</f>
        <v>4070305</v>
      </c>
      <c r="H15" s="6">
        <f t="shared" si="3"/>
        <v>24243486</v>
      </c>
      <c r="I15" s="6">
        <f>SUM([1]Copy!$J$410:$J$421)</f>
        <v>145293</v>
      </c>
      <c r="J15" s="6">
        <f>SUM([1]Copy!$K$410:$K$421)</f>
        <v>26659</v>
      </c>
      <c r="K15" s="6">
        <f t="shared" ref="K15:K22" si="5">I15+J15</f>
        <v>171952</v>
      </c>
      <c r="L15" s="6">
        <f>SUM([1]Copy!$M$410:$M$421)</f>
        <v>134879</v>
      </c>
      <c r="M15" s="4">
        <f t="shared" si="4"/>
        <v>27.316735557838363</v>
      </c>
      <c r="N15" s="3">
        <f t="shared" si="2"/>
        <v>15.928427922279303</v>
      </c>
      <c r="O15" s="3">
        <f t="shared" si="1"/>
        <v>-5.6579094622572885</v>
      </c>
    </row>
    <row r="16" spans="1:15" x14ac:dyDescent="0.3">
      <c r="A16" s="6">
        <v>2023</v>
      </c>
      <c r="B16" s="6" t="s">
        <v>29</v>
      </c>
      <c r="C16" s="6" t="s">
        <v>30</v>
      </c>
      <c r="D16" s="7" t="s">
        <v>31</v>
      </c>
      <c r="E16" s="6" t="s">
        <v>32</v>
      </c>
      <c r="F16" s="6">
        <f>SUM([1]Copy!$G$539:$G$550)</f>
        <v>37740039</v>
      </c>
      <c r="G16" s="6">
        <f>SUM([1]Copy!$H$539:$H$550)</f>
        <v>13849129</v>
      </c>
      <c r="H16" s="6">
        <f t="shared" si="3"/>
        <v>51589168</v>
      </c>
      <c r="I16" s="6">
        <f>SUM([1]Copy!$J$539:$J$550)</f>
        <v>239727</v>
      </c>
      <c r="J16" s="6">
        <f>SUM([1]Copy!$K$539:$K$550)</f>
        <v>81150</v>
      </c>
      <c r="K16" s="6">
        <f t="shared" si="5"/>
        <v>320877</v>
      </c>
      <c r="L16" s="6">
        <f>SUM([1]Copy!$M$539:$M$550)</f>
        <v>791330</v>
      </c>
      <c r="M16" s="4">
        <f t="shared" si="4"/>
        <v>34.584747313387894</v>
      </c>
      <c r="N16" s="3">
        <f t="shared" si="2"/>
        <v>20.992062743915085</v>
      </c>
      <c r="O16" s="3">
        <f t="shared" si="1"/>
        <v>2.4952562284263631</v>
      </c>
    </row>
    <row r="17" spans="1:15" x14ac:dyDescent="0.3">
      <c r="A17" s="6">
        <v>2022</v>
      </c>
      <c r="B17" s="6" t="s">
        <v>15</v>
      </c>
      <c r="C17" s="6" t="s">
        <v>16</v>
      </c>
      <c r="D17" s="7" t="s">
        <v>17</v>
      </c>
      <c r="E17" s="7" t="s">
        <v>18</v>
      </c>
      <c r="F17" s="6">
        <f>SUM([1]Copy!$G$35:$G$46)</f>
        <v>24361664</v>
      </c>
      <c r="G17" s="6">
        <f>SUM([1]Copy!$H$35:$H$46)</f>
        <v>3142153</v>
      </c>
      <c r="H17" s="6">
        <f t="shared" si="3"/>
        <v>27503817</v>
      </c>
      <c r="I17" s="6">
        <f>SUM([1]Copy!$J$35:$J$46)</f>
        <v>177845</v>
      </c>
      <c r="J17" s="6">
        <f>SUM([1]Copy!$K$35:$K$46)</f>
        <v>22464</v>
      </c>
      <c r="K17" s="6">
        <f t="shared" si="5"/>
        <v>200309</v>
      </c>
      <c r="L17" s="6">
        <f>SUM([1]Copy!$M$35:$M$46)</f>
        <v>412675</v>
      </c>
      <c r="M17" s="4">
        <f t="shared" si="4"/>
        <v>71.1180339661354</v>
      </c>
      <c r="N17" s="3">
        <f t="shared" si="2"/>
        <v>31.186718187176631</v>
      </c>
      <c r="O17" s="3">
        <f t="shared" si="1"/>
        <v>1.5090765976287694</v>
      </c>
    </row>
    <row r="18" spans="1:15" x14ac:dyDescent="0.3">
      <c r="A18" s="6">
        <v>2022</v>
      </c>
      <c r="B18" s="6" t="s">
        <v>19</v>
      </c>
      <c r="C18" s="6" t="s">
        <v>20</v>
      </c>
      <c r="D18" s="6" t="s">
        <v>21</v>
      </c>
      <c r="E18" s="6" t="s">
        <v>18</v>
      </c>
      <c r="F18" s="6">
        <f>SUM([1]Copy!$G$152:$G$163)</f>
        <v>15123566</v>
      </c>
      <c r="G18" s="6">
        <f>SUM([1]Copy!$H$152:$H$163)</f>
        <v>5713173</v>
      </c>
      <c r="H18" s="6">
        <f t="shared" si="3"/>
        <v>20836739</v>
      </c>
      <c r="I18" s="6">
        <f>SUM([1]Copy!$J$152:$J$163)</f>
        <v>109205</v>
      </c>
      <c r="J18" s="6">
        <f>SUM([1]Copy!$K$152:$K$163)</f>
        <v>36804</v>
      </c>
      <c r="K18" s="6">
        <f t="shared" si="5"/>
        <v>146009</v>
      </c>
      <c r="L18" s="6">
        <f>SUM([1]Copy!$M$152:$M$163)</f>
        <v>298844.3</v>
      </c>
      <c r="M18" s="4">
        <f t="shared" si="4"/>
        <v>129.98471090790409</v>
      </c>
      <c r="N18" s="3">
        <f t="shared" si="2"/>
        <v>57.129020802169542</v>
      </c>
      <c r="O18" s="3">
        <f t="shared" si="1"/>
        <v>-17.094780353154956</v>
      </c>
    </row>
    <row r="19" spans="1:15" x14ac:dyDescent="0.3">
      <c r="A19" s="6">
        <v>2022</v>
      </c>
      <c r="B19" s="6" t="s">
        <v>22</v>
      </c>
      <c r="C19" s="6" t="s">
        <v>23</v>
      </c>
      <c r="D19" s="6" t="s">
        <v>24</v>
      </c>
      <c r="E19" s="6" t="s">
        <v>25</v>
      </c>
      <c r="F19" s="6">
        <f>SUM([1]Copy!$G$293:$G$304)</f>
        <v>45817503</v>
      </c>
      <c r="G19" s="6">
        <f>SUM([1]Copy!$H$293:$H$304)</f>
        <v>13672571</v>
      </c>
      <c r="H19" s="6">
        <f t="shared" si="3"/>
        <v>59490074</v>
      </c>
      <c r="I19" s="6">
        <f>SUM([1]Copy!$J$293:$J$304)</f>
        <v>324814</v>
      </c>
      <c r="J19" s="6">
        <f>SUM([1]Copy!$K$293:$K$304)</f>
        <v>83681</v>
      </c>
      <c r="K19" s="6">
        <f t="shared" si="5"/>
        <v>408495</v>
      </c>
      <c r="L19" s="6">
        <f>SUM([1]Copy!$M$293:$M$304)</f>
        <v>898716</v>
      </c>
      <c r="M19" s="4">
        <f t="shared" si="4"/>
        <v>60.178090674687645</v>
      </c>
      <c r="N19" s="3">
        <f t="shared" si="2"/>
        <v>29.908601740192335</v>
      </c>
      <c r="O19" s="3">
        <f t="shared" si="1"/>
        <v>-2.9755645713273986</v>
      </c>
    </row>
    <row r="20" spans="1:15" x14ac:dyDescent="0.3">
      <c r="A20" s="6">
        <v>2022</v>
      </c>
      <c r="B20" s="6" t="s">
        <v>26</v>
      </c>
      <c r="C20" s="6" t="s">
        <v>27</v>
      </c>
      <c r="D20" s="7" t="s">
        <v>28</v>
      </c>
      <c r="E20" s="7" t="s">
        <v>18</v>
      </c>
      <c r="F20" s="6">
        <f>SUM([1]Copy!$G$422:$G$433)</f>
        <v>16047742</v>
      </c>
      <c r="G20" s="6">
        <f>SUM([1]Copy!$H$422:$H$433)</f>
        <v>2994127</v>
      </c>
      <c r="H20" s="6">
        <f t="shared" si="3"/>
        <v>19041869</v>
      </c>
      <c r="I20" s="6">
        <f>SUM([1]Copy!$J$422:$J$433)</f>
        <v>127235</v>
      </c>
      <c r="J20" s="6">
        <f>SUM([1]Copy!$K$422:$K$433)</f>
        <v>21091</v>
      </c>
      <c r="K20" s="6">
        <f t="shared" si="5"/>
        <v>148326</v>
      </c>
      <c r="L20" s="6">
        <f>SUM([1]Copy!$M$422:$M$433)</f>
        <v>142968</v>
      </c>
      <c r="M20" s="4">
        <f t="shared" si="4"/>
        <v>58.642012696280432</v>
      </c>
      <c r="N20" s="3">
        <f t="shared" si="2"/>
        <v>29.307458939219583</v>
      </c>
      <c r="O20" s="3">
        <f t="shared" si="1"/>
        <v>3.5482258870564722</v>
      </c>
    </row>
    <row r="21" spans="1:15" x14ac:dyDescent="0.3">
      <c r="A21" s="6">
        <v>2022</v>
      </c>
      <c r="B21" s="6" t="s">
        <v>29</v>
      </c>
      <c r="C21" s="6" t="s">
        <v>30</v>
      </c>
      <c r="D21" s="7" t="s">
        <v>31</v>
      </c>
      <c r="E21" s="6" t="s">
        <v>32</v>
      </c>
      <c r="F21" s="6">
        <f>SUM([1]Copy!$G$551:$G$562)</f>
        <v>29192762</v>
      </c>
      <c r="G21" s="6">
        <f>SUM([1]Copy!$H$551:$H$562)</f>
        <v>9139344</v>
      </c>
      <c r="H21" s="6">
        <f t="shared" si="3"/>
        <v>38332106</v>
      </c>
      <c r="I21" s="6">
        <f>SUM([1]Copy!$J$551:$J$562)</f>
        <v>206233</v>
      </c>
      <c r="J21" s="6">
        <f>SUM([1]Copy!$K$551:$K$562)</f>
        <v>58972</v>
      </c>
      <c r="K21" s="6">
        <f t="shared" si="5"/>
        <v>265205</v>
      </c>
      <c r="L21" s="6">
        <f>SUM([1]Copy!$M$551:$M$562)</f>
        <v>772065</v>
      </c>
      <c r="M21" s="4">
        <f t="shared" si="4"/>
        <v>93.728367218857372</v>
      </c>
      <c r="N21" s="3">
        <f t="shared" si="2"/>
        <v>46.547198691488596</v>
      </c>
      <c r="O21" s="3">
        <f t="shared" si="1"/>
        <v>-0.37189640065707719</v>
      </c>
    </row>
    <row r="22" spans="1:15" x14ac:dyDescent="0.3">
      <c r="A22" s="6">
        <v>2021</v>
      </c>
      <c r="B22" s="6" t="s">
        <v>15</v>
      </c>
      <c r="C22" s="6" t="s">
        <v>16</v>
      </c>
      <c r="D22" s="7" t="s">
        <v>17</v>
      </c>
      <c r="E22" s="7" t="s">
        <v>18</v>
      </c>
      <c r="F22" s="6">
        <f>SUM([1]Copy!$G$47:$G$58)</f>
        <v>15125460</v>
      </c>
      <c r="G22" s="6">
        <f>SUM([1]Copy!$H$47:$H$58)</f>
        <v>947549</v>
      </c>
      <c r="H22" s="6">
        <f t="shared" si="3"/>
        <v>16073009</v>
      </c>
      <c r="I22" s="6">
        <f>SUM([1]Copy!$J$47:$J$58)</f>
        <v>137505</v>
      </c>
      <c r="J22" s="6">
        <f>SUM([1]Copy!$K$47:$K$58)</f>
        <v>15185</v>
      </c>
      <c r="K22" s="6">
        <f t="shared" si="5"/>
        <v>152690</v>
      </c>
      <c r="L22" s="6">
        <f>SUM([1]Copy!$M$47:$M$58)</f>
        <v>406540</v>
      </c>
      <c r="M22" s="4">
        <f t="shared" si="4"/>
        <v>18.934374353225792</v>
      </c>
      <c r="N22" s="3">
        <f t="shared" si="2"/>
        <v>22.330112644009677</v>
      </c>
      <c r="O22" s="3">
        <f t="shared" si="1"/>
        <v>28.519312354975561</v>
      </c>
    </row>
    <row r="23" spans="1:15" x14ac:dyDescent="0.3">
      <c r="A23" s="6">
        <v>2021</v>
      </c>
      <c r="B23" s="6" t="s">
        <v>19</v>
      </c>
      <c r="C23" s="6" t="s">
        <v>20</v>
      </c>
      <c r="D23" s="6" t="s">
        <v>21</v>
      </c>
      <c r="E23" s="6" t="s">
        <v>18</v>
      </c>
      <c r="F23" s="6">
        <f>SUM([1]Copy!$G$176:$G$187)</f>
        <v>7762579</v>
      </c>
      <c r="G23" s="6">
        <f>SUM([1]Copy!$H$176:$H$187)</f>
        <v>1297475</v>
      </c>
      <c r="H23" s="6">
        <f>SUM([1]Copy!$I$176:$I$187)</f>
        <v>9060054</v>
      </c>
      <c r="I23" s="6">
        <f>SUM([1]Copy!$J$176:$J$187)</f>
        <v>75169</v>
      </c>
      <c r="J23" s="6">
        <f>SUM([1]Copy!$K$176:$K$187)</f>
        <v>17754</v>
      </c>
      <c r="K23" s="6">
        <f>I23+J23</f>
        <v>92923</v>
      </c>
      <c r="L23" s="6">
        <f>SUM([1]Copy!$M$176:$M$187)</f>
        <v>360465</v>
      </c>
      <c r="M23" s="4">
        <f t="shared" si="4"/>
        <v>14.586104430826008</v>
      </c>
      <c r="N23" s="3">
        <f t="shared" si="2"/>
        <v>19.542788040961252</v>
      </c>
      <c r="O23" s="3">
        <f t="shared" si="1"/>
        <v>30.472788081483731</v>
      </c>
    </row>
    <row r="24" spans="1:15" x14ac:dyDescent="0.3">
      <c r="A24" s="6">
        <v>2021</v>
      </c>
      <c r="B24" s="6" t="s">
        <v>22</v>
      </c>
      <c r="C24" s="6" t="s">
        <v>23</v>
      </c>
      <c r="D24" s="6" t="s">
        <v>24</v>
      </c>
      <c r="E24" s="6" t="s">
        <v>25</v>
      </c>
      <c r="F24" s="6">
        <f>SUM([1]Copy!$G$305:$G$316)</f>
        <v>31648270</v>
      </c>
      <c r="G24" s="6">
        <f>SUM([1]Copy!$H$305:$H$316)</f>
        <v>5491687</v>
      </c>
      <c r="H24" s="6">
        <f>SUM(F24,G24)</f>
        <v>37139957</v>
      </c>
      <c r="I24" s="6">
        <f>SUM([1]Copy!$J$305:$J$316)</f>
        <v>260841</v>
      </c>
      <c r="J24" s="6">
        <f>SUM([1]Copy!$K$305:$K$316)</f>
        <v>53607</v>
      </c>
      <c r="K24" s="6">
        <f>I24+J24</f>
        <v>314448</v>
      </c>
      <c r="L24" s="6">
        <f>SUM([1]Copy!$M$305:$M$316)</f>
        <v>926278</v>
      </c>
      <c r="M24" s="4">
        <f t="shared" si="4"/>
        <v>30.313146643336118</v>
      </c>
      <c r="N24" s="3">
        <f t="shared" si="2"/>
        <v>31.831864565951989</v>
      </c>
      <c r="O24" s="3">
        <f t="shared" si="1"/>
        <v>27.121440021079906</v>
      </c>
    </row>
    <row r="25" spans="1:15" x14ac:dyDescent="0.3">
      <c r="A25" s="6">
        <v>2021</v>
      </c>
      <c r="B25" s="6" t="s">
        <v>26</v>
      </c>
      <c r="C25" s="6" t="s">
        <v>27</v>
      </c>
      <c r="D25" s="7" t="s">
        <v>28</v>
      </c>
      <c r="E25" s="7" t="s">
        <v>18</v>
      </c>
      <c r="F25" s="6">
        <f>SUM([1]Copy!$G$434:$G$445)</f>
        <v>10795565</v>
      </c>
      <c r="G25" s="6">
        <f>SUM([1]Copy!$H$434:$H$445)</f>
        <v>1207478</v>
      </c>
      <c r="H25" s="6">
        <f>F25+G25</f>
        <v>12003043</v>
      </c>
      <c r="I25" s="6">
        <f>SUM([1]Copy!$J$434:$J$445)</f>
        <v>103442</v>
      </c>
      <c r="J25" s="6">
        <f>SUM([1]Copy!$K$434:$K$445)</f>
        <v>11266</v>
      </c>
      <c r="K25" s="6">
        <f>I25+J25</f>
        <v>114708</v>
      </c>
      <c r="L25" s="6">
        <f>SUM([1]Copy!$M$434:$M$445)</f>
        <v>138069</v>
      </c>
      <c r="M25" s="4">
        <f t="shared" si="4"/>
        <v>27.205965888617868</v>
      </c>
      <c r="N25" s="3">
        <f t="shared" si="2"/>
        <v>17.591339648173207</v>
      </c>
      <c r="O25" s="3">
        <f t="shared" si="1"/>
        <v>24.42347724999324</v>
      </c>
    </row>
    <row r="26" spans="1:15" x14ac:dyDescent="0.3">
      <c r="A26" s="6">
        <v>2021</v>
      </c>
      <c r="B26" s="6" t="s">
        <v>29</v>
      </c>
      <c r="C26" s="6" t="s">
        <v>30</v>
      </c>
      <c r="D26" s="7" t="s">
        <v>31</v>
      </c>
      <c r="E26" s="6" t="s">
        <v>32</v>
      </c>
      <c r="F26" s="6">
        <f>SUM([1]Copy!$G$563:$G$574)</f>
        <v>17358445</v>
      </c>
      <c r="G26" s="6">
        <f>SUM([1]Copy!$H$563:$H$574)</f>
        <v>2428077</v>
      </c>
      <c r="H26" s="6">
        <f>F26+G26</f>
        <v>19786522</v>
      </c>
      <c r="I26" s="6">
        <f>SUM([1]Copy!$J$563:$J$574)</f>
        <v>149349</v>
      </c>
      <c r="J26" s="6">
        <f>SUM([1]Copy!$K$563:$K$574)</f>
        <v>31620</v>
      </c>
      <c r="K26" s="6">
        <f>SUM([1]Copy!$L$563:$L$574)</f>
        <v>180969</v>
      </c>
      <c r="L26" s="6">
        <f>SUM([1]Copy!$M$563:$M$574)</f>
        <v>774947</v>
      </c>
      <c r="M26" s="4">
        <f t="shared" si="4"/>
        <v>20.724093601718625</v>
      </c>
      <c r="N26" s="3">
        <f t="shared" si="2"/>
        <v>30.505235526581476</v>
      </c>
      <c r="O26" s="3">
        <f t="shared" si="1"/>
        <v>28.226693825007406</v>
      </c>
    </row>
    <row r="27" spans="1:15" x14ac:dyDescent="0.3">
      <c r="A27" s="6">
        <v>2020</v>
      </c>
      <c r="B27" s="6" t="s">
        <v>15</v>
      </c>
      <c r="C27" s="6" t="s">
        <v>16</v>
      </c>
      <c r="D27" s="7" t="s">
        <v>17</v>
      </c>
      <c r="E27" s="7" t="s">
        <v>18</v>
      </c>
      <c r="F27" s="6">
        <f>SUM([1]Copy!$G$59:$G$70)</f>
        <v>12393630</v>
      </c>
      <c r="G27" s="6">
        <f>SUM([1]Copy!$H$59:$H$70)</f>
        <v>1120553</v>
      </c>
      <c r="H27" s="6">
        <f>F27+G27</f>
        <v>13514183</v>
      </c>
      <c r="I27" s="6">
        <f>SUM([1]Copy!$J$59:$J$70)</f>
        <v>110960</v>
      </c>
      <c r="J27" s="6">
        <f>SUM([1]Copy!$K$59:$K$70)</f>
        <v>13858</v>
      </c>
      <c r="K27" s="6">
        <f>SUM(I27,J27)</f>
        <v>124818</v>
      </c>
      <c r="L27" s="6">
        <f>SUM([1]Copy!$M$59:$M$70)</f>
        <v>316326</v>
      </c>
      <c r="M27" s="4">
        <f t="shared" si="4"/>
        <v>-59.844548746970183</v>
      </c>
      <c r="N27" s="3">
        <f t="shared" si="2"/>
        <v>-46.7127170887481</v>
      </c>
      <c r="O27" s="3">
        <f t="shared" si="1"/>
        <v>-13.746053040590287</v>
      </c>
    </row>
    <row r="28" spans="1:15" x14ac:dyDescent="0.3">
      <c r="A28" s="6">
        <v>2020</v>
      </c>
      <c r="B28" s="6" t="s">
        <v>19</v>
      </c>
      <c r="C28" s="6" t="s">
        <v>20</v>
      </c>
      <c r="D28" s="6" t="s">
        <v>21</v>
      </c>
      <c r="E28" s="6" t="s">
        <v>18</v>
      </c>
      <c r="F28" s="6">
        <f>SUM([1]Copy!$G$188:$G$199)</f>
        <v>6406197</v>
      </c>
      <c r="G28" s="6">
        <f>SUM([1]Copy!$H$188:$H$199)</f>
        <v>1500568</v>
      </c>
      <c r="H28" s="6">
        <f>SUM(F28,G28)</f>
        <v>7906765</v>
      </c>
      <c r="I28" s="6">
        <f>SUM([1]Copy!$J$188:$J$199)</f>
        <v>61890</v>
      </c>
      <c r="J28" s="6">
        <f>SUM([1]Copy!$K$188:$K$199)</f>
        <v>15842</v>
      </c>
      <c r="K28" s="6">
        <f>I28+J28</f>
        <v>77732</v>
      </c>
      <c r="L28" s="6">
        <f>SUM([1]Copy!$M$188:$M$199)</f>
        <v>276276</v>
      </c>
      <c r="M28" s="4">
        <f t="shared" si="4"/>
        <v>-65.351172816808131</v>
      </c>
      <c r="N28" s="3">
        <f t="shared" si="2"/>
        <v>-54.453995207040606</v>
      </c>
      <c r="O28" s="3">
        <f t="shared" si="1"/>
        <v>-24.045329330452141</v>
      </c>
    </row>
    <row r="29" spans="1:15" x14ac:dyDescent="0.3">
      <c r="A29" s="6">
        <v>2020</v>
      </c>
      <c r="B29" s="6" t="s">
        <v>22</v>
      </c>
      <c r="C29" s="6" t="s">
        <v>23</v>
      </c>
      <c r="D29" s="6" t="s">
        <v>24</v>
      </c>
      <c r="E29" s="6" t="s">
        <v>25</v>
      </c>
      <c r="F29" s="6">
        <f>SUM([1]Copy!$G$317:$G$328)</f>
        <v>22637885</v>
      </c>
      <c r="G29" s="6">
        <f>SUM([1]Copy!$H$317:$H$328)</f>
        <v>5862660</v>
      </c>
      <c r="H29" s="6">
        <f>SUM(F29,G29)</f>
        <v>28500545</v>
      </c>
      <c r="I29" s="6">
        <f>SUM([1]Copy!$J$317:$J$328)</f>
        <v>186596</v>
      </c>
      <c r="J29" s="6">
        <f>SUM([1]Copy!$K$317:$K$328)</f>
        <v>51926</v>
      </c>
      <c r="K29" s="6">
        <f>I29+J29</f>
        <v>238522</v>
      </c>
      <c r="L29" s="6">
        <f>SUM([1]Copy!$M$317:$M$328)</f>
        <v>728656</v>
      </c>
      <c r="M29" s="4">
        <f t="shared" si="4"/>
        <v>-58.38773424684284</v>
      </c>
      <c r="N29" s="3">
        <f t="shared" si="2"/>
        <v>-47.165004972898252</v>
      </c>
      <c r="O29" s="3">
        <f t="shared" si="1"/>
        <v>-24.70251719794193</v>
      </c>
    </row>
    <row r="30" spans="1:15" x14ac:dyDescent="0.3">
      <c r="A30" s="6">
        <v>2020</v>
      </c>
      <c r="B30" s="6" t="s">
        <v>26</v>
      </c>
      <c r="C30" s="6" t="s">
        <v>27</v>
      </c>
      <c r="D30" s="7" t="s">
        <v>28</v>
      </c>
      <c r="E30" s="7" t="s">
        <v>18</v>
      </c>
      <c r="F30" s="6">
        <f>SUM([1]Copy!$G$446:$G$457)</f>
        <v>8327876</v>
      </c>
      <c r="G30" s="6">
        <f>SUM([1]Copy!$H$446:$H$457)</f>
        <v>1108036</v>
      </c>
      <c r="H30" s="6">
        <f>SUM(F30,G30)</f>
        <v>9435912</v>
      </c>
      <c r="I30" s="6">
        <f>SUM([1]Copy!$J$446:$J$457)</f>
        <v>86887</v>
      </c>
      <c r="J30" s="6">
        <f>SUM([1]Copy!$K$446:$K$457)</f>
        <v>10661</v>
      </c>
      <c r="K30" s="6">
        <f>I30+J30</f>
        <v>97548</v>
      </c>
      <c r="L30" s="6">
        <f>SUM([1]Copy!$M$446:$M$457)</f>
        <v>110967</v>
      </c>
      <c r="M30" s="4">
        <f t="shared" si="4"/>
        <v>-57.741542967569146</v>
      </c>
      <c r="N30" s="3">
        <f t="shared" si="2"/>
        <v>-47.521545926985937</v>
      </c>
      <c r="O30" s="3">
        <f t="shared" si="1"/>
        <v>-20.865602669975612</v>
      </c>
    </row>
    <row r="31" spans="1:15" x14ac:dyDescent="0.3">
      <c r="A31" s="6">
        <v>2020</v>
      </c>
      <c r="B31" s="6" t="s">
        <v>29</v>
      </c>
      <c r="C31" s="6" t="s">
        <v>30</v>
      </c>
      <c r="D31" s="7" t="s">
        <v>31</v>
      </c>
      <c r="E31" s="6" t="s">
        <v>32</v>
      </c>
      <c r="F31" s="6">
        <f>SUM([1]Copy!$G$575:$G$586)</f>
        <v>12942625</v>
      </c>
      <c r="G31" s="6">
        <f>SUM([1]Copy!$H$575:$H$586)</f>
        <v>3447245</v>
      </c>
      <c r="H31" s="6">
        <f>G31+F31</f>
        <v>16389870</v>
      </c>
      <c r="I31" s="6">
        <f>SUM([1]Copy!$J$575:$J$586)</f>
        <v>104799</v>
      </c>
      <c r="J31" s="6">
        <f>SUM([1]Copy!$K$575:$K$586)</f>
        <v>33869</v>
      </c>
      <c r="K31" s="6">
        <f>I31+J31</f>
        <v>138668</v>
      </c>
      <c r="L31" s="6">
        <f>SUM([1]Copy!$M$575:$M$586)</f>
        <v>604357</v>
      </c>
      <c r="M31" s="4">
        <f t="shared" si="4"/>
        <v>-65.169243964710788</v>
      </c>
      <c r="N31" s="3">
        <f t="shared" si="2"/>
        <v>-54.799173354368904</v>
      </c>
      <c r="O31" s="3">
        <f t="shared" si="1"/>
        <v>-30.728911160728611</v>
      </c>
    </row>
    <row r="32" spans="1:15" x14ac:dyDescent="0.3">
      <c r="A32" s="6">
        <v>2019</v>
      </c>
      <c r="B32" s="6" t="s">
        <v>15</v>
      </c>
      <c r="C32" s="6" t="s">
        <v>16</v>
      </c>
      <c r="D32" s="7" t="s">
        <v>17</v>
      </c>
      <c r="E32" s="7" t="s">
        <v>18</v>
      </c>
      <c r="F32" s="6">
        <f>SUM([1]Copy!$G$71:$G$82)</f>
        <v>28785516</v>
      </c>
      <c r="G32" s="6">
        <f>SUM([1]Copy!$H$71:$H$82)</f>
        <v>4869150</v>
      </c>
      <c r="H32" s="6">
        <f>F32+G32</f>
        <v>33654666</v>
      </c>
      <c r="I32" s="6">
        <f>SUM([1]Copy!$J$71:$J$82)</f>
        <v>202327</v>
      </c>
      <c r="J32" s="6">
        <f>SUM([1]Copy!$K$71:$K$82)</f>
        <v>31909</v>
      </c>
      <c r="K32" s="6">
        <f>SUM(I32,J32)</f>
        <v>234236</v>
      </c>
      <c r="L32" s="6">
        <f>SUM([1]Copy!$M$71:$M$82)</f>
        <v>366738</v>
      </c>
      <c r="M32" s="4">
        <f t="shared" si="4"/>
        <v>4.0922662220073933</v>
      </c>
      <c r="N32" s="3">
        <f t="shared" si="2"/>
        <v>-0.26399155227032733</v>
      </c>
      <c r="O32" s="3">
        <f t="shared" si="1"/>
        <v>-1.161042027134102</v>
      </c>
    </row>
    <row r="33" spans="1:15" x14ac:dyDescent="0.3">
      <c r="A33" s="6">
        <v>2019</v>
      </c>
      <c r="B33" s="6" t="s">
        <v>19</v>
      </c>
      <c r="C33" s="6" t="s">
        <v>20</v>
      </c>
      <c r="D33" s="6" t="s">
        <v>21</v>
      </c>
      <c r="E33" s="6" t="s">
        <v>18</v>
      </c>
      <c r="F33" s="6">
        <f>SUM([1]Copy!$G$200:$G$211)</f>
        <v>16772974</v>
      </c>
      <c r="G33" s="6">
        <f>SUM([1]Copy!$H$200:$H$211)</f>
        <v>6046745</v>
      </c>
      <c r="H33" s="6">
        <f>F33+G33</f>
        <v>22819719</v>
      </c>
      <c r="I33" s="6">
        <f>SUM([1]Copy!$J$200:$J$211)</f>
        <v>131644</v>
      </c>
      <c r="J33" s="6">
        <f>SUM([1]Copy!$K$200:$K$211)</f>
        <v>39023</v>
      </c>
      <c r="K33" s="6">
        <f>SUM(I33,J33)</f>
        <v>170667</v>
      </c>
      <c r="L33" s="6">
        <f>SUM([1]Copy!$M$200:$M$211)</f>
        <v>363738</v>
      </c>
      <c r="M33" s="4">
        <f t="shared" si="4"/>
        <v>1.4809688821364524</v>
      </c>
      <c r="N33" s="3">
        <f t="shared" si="2"/>
        <v>-3.757944183476098</v>
      </c>
      <c r="O33" s="3">
        <f t="shared" si="1"/>
        <v>-11.299640309699445</v>
      </c>
    </row>
    <row r="34" spans="1:15" x14ac:dyDescent="0.3">
      <c r="A34" s="6">
        <v>2019</v>
      </c>
      <c r="B34" s="6" t="s">
        <v>22</v>
      </c>
      <c r="C34" s="6" t="s">
        <v>23</v>
      </c>
      <c r="D34" s="6" t="s">
        <v>24</v>
      </c>
      <c r="E34" s="6" t="s">
        <v>25</v>
      </c>
      <c r="F34" s="6">
        <f>SUM([1]Copy!$G$329:$G$340)</f>
        <v>49816879</v>
      </c>
      <c r="G34" s="6">
        <f>SUM([1]Copy!$H$329:$H$340)</f>
        <v>18673852</v>
      </c>
      <c r="H34" s="6">
        <f>SUM(F34,G34)</f>
        <v>68490731</v>
      </c>
      <c r="I34" s="6">
        <f>SUM([1]Copy!$J$329:$J$340)</f>
        <v>339134</v>
      </c>
      <c r="J34" s="6">
        <f>SUM([1]Copy!$K$329:$K$340)</f>
        <v>112313</v>
      </c>
      <c r="K34" s="6">
        <f>I34+J34</f>
        <v>451447</v>
      </c>
      <c r="L34" s="6">
        <f>SUM([1]Copy!$M$329:$M$340)</f>
        <v>967703</v>
      </c>
      <c r="M34" s="4">
        <f t="shared" si="4"/>
        <v>-1.9698328512602101</v>
      </c>
      <c r="N34" s="3">
        <f t="shared" si="2"/>
        <v>-2.7026619280281561</v>
      </c>
      <c r="O34" s="3">
        <f t="shared" si="1"/>
        <v>-1.9978125031647813</v>
      </c>
    </row>
    <row r="35" spans="1:15" x14ac:dyDescent="0.3">
      <c r="A35" s="6">
        <v>2019</v>
      </c>
      <c r="B35" s="6" t="s">
        <v>26</v>
      </c>
      <c r="C35" s="6" t="s">
        <v>27</v>
      </c>
      <c r="D35" s="7" t="s">
        <v>28</v>
      </c>
      <c r="E35" s="7" t="s">
        <v>18</v>
      </c>
      <c r="F35" s="6">
        <f>SUM([1]Copy!$G$458:$G$469)</f>
        <v>18242121</v>
      </c>
      <c r="G35" s="6">
        <f>SUM([1]Copy!$H$458:$H$469)</f>
        <v>4086929</v>
      </c>
      <c r="H35" s="6">
        <f t="shared" ref="H35:H45" si="6">F35+G35</f>
        <v>22329050</v>
      </c>
      <c r="I35" s="6">
        <f>SUM([1]Copy!$J$458:$J$469)</f>
        <v>159708</v>
      </c>
      <c r="J35" s="6">
        <f>SUM([1]Copy!$K$458:$K$469)</f>
        <v>26174</v>
      </c>
      <c r="K35" s="6">
        <f>I35+J35</f>
        <v>185882</v>
      </c>
      <c r="L35" s="6">
        <f>SUM([1]Copy!$M$458:$M$469)</f>
        <v>140226</v>
      </c>
      <c r="M35" s="4">
        <f t="shared" si="4"/>
        <v>6.8174740347867608</v>
      </c>
      <c r="N35" s="3">
        <f t="shared" si="2"/>
        <v>6.6032758304276022</v>
      </c>
      <c r="O35" s="3">
        <f t="shared" si="1"/>
        <v>2.0404302076814487</v>
      </c>
    </row>
    <row r="36" spans="1:15" x14ac:dyDescent="0.3">
      <c r="A36" s="6">
        <v>2019</v>
      </c>
      <c r="B36" s="6" t="s">
        <v>29</v>
      </c>
      <c r="C36" s="6" t="s">
        <v>30</v>
      </c>
      <c r="D36" s="7" t="s">
        <v>31</v>
      </c>
      <c r="E36" s="6" t="s">
        <v>32</v>
      </c>
      <c r="F36" s="6">
        <f>SUM([1]Copy!$G$587:$G$598)</f>
        <v>33767878</v>
      </c>
      <c r="G36" s="6">
        <f>SUM([1]Copy!$H$587:$H$598)</f>
        <v>13287862</v>
      </c>
      <c r="H36" s="6">
        <f t="shared" si="6"/>
        <v>47055740</v>
      </c>
      <c r="I36" s="6">
        <f>SUM([1]Copy!$J$587:$J$598)</f>
        <v>226856</v>
      </c>
      <c r="J36" s="6">
        <f>SUM([1]Copy!$K$587:$K$598)</f>
        <v>79926</v>
      </c>
      <c r="K36" s="6">
        <f>SUM([1]Copy!$L$587:$L$598)</f>
        <v>306782</v>
      </c>
      <c r="L36" s="6">
        <f>SUM([1]Copy!$M$587:$M$598)</f>
        <v>872452</v>
      </c>
      <c r="M36" s="4">
        <f t="shared" si="4"/>
        <v>-3.4412758281804177</v>
      </c>
      <c r="N36" s="3">
        <f t="shared" si="2"/>
        <v>-6.7012958575742747</v>
      </c>
      <c r="O36" s="3">
        <f t="shared" si="1"/>
        <v>-7.3987433132376674</v>
      </c>
    </row>
    <row r="37" spans="1:15" x14ac:dyDescent="0.3">
      <c r="A37" s="6">
        <v>2018</v>
      </c>
      <c r="B37" s="6" t="s">
        <v>15</v>
      </c>
      <c r="C37" s="6" t="s">
        <v>16</v>
      </c>
      <c r="D37" s="7" t="s">
        <v>17</v>
      </c>
      <c r="E37" s="7" t="s">
        <v>18</v>
      </c>
      <c r="F37" s="6">
        <f>SUM([1]Copy!$G$83:$G$94)</f>
        <v>28057901</v>
      </c>
      <c r="G37" s="6">
        <f>SUM([1]Copy!$H$83:$H$94)</f>
        <v>4273671</v>
      </c>
      <c r="H37" s="6">
        <f t="shared" si="6"/>
        <v>32331572</v>
      </c>
      <c r="I37" s="6">
        <f>SUM([1]Copy!$J$83:$J$94)</f>
        <v>206432</v>
      </c>
      <c r="J37" s="6">
        <f>SUM([1]Copy!$K$83:$K$94)</f>
        <v>28424</v>
      </c>
      <c r="K37" s="6">
        <f>I37+J37</f>
        <v>234856</v>
      </c>
      <c r="L37" s="6">
        <f>SUM([1]Copy!$M$83:$M$94)</f>
        <v>371046</v>
      </c>
      <c r="M37" s="4">
        <f t="shared" si="4"/>
        <v>29.082209032584466</v>
      </c>
      <c r="N37" s="3">
        <f t="shared" si="2"/>
        <v>18.568031624065391</v>
      </c>
      <c r="O37" s="3">
        <f t="shared" si="1"/>
        <v>12.287104622871047</v>
      </c>
    </row>
    <row r="38" spans="1:15" x14ac:dyDescent="0.3">
      <c r="A38" s="6">
        <v>2018</v>
      </c>
      <c r="B38" s="6" t="s">
        <v>19</v>
      </c>
      <c r="C38" s="6" t="s">
        <v>20</v>
      </c>
      <c r="D38" s="6" t="s">
        <v>21</v>
      </c>
      <c r="E38" s="6" t="s">
        <v>18</v>
      </c>
      <c r="F38" s="6">
        <f>SUM([1]Copy!$G$212:$G$223)</f>
        <v>16572904</v>
      </c>
      <c r="G38" s="6">
        <f>SUM([1]Copy!$H$212:$H$223)</f>
        <v>5913794</v>
      </c>
      <c r="H38" s="6">
        <f t="shared" si="6"/>
        <v>22486698</v>
      </c>
      <c r="I38" s="6">
        <f>SUM([1]Copy!$J$212:$J$223)</f>
        <v>137836</v>
      </c>
      <c r="J38" s="6">
        <f>SUM([1]Copy!$K$212:$K$223)</f>
        <v>39495</v>
      </c>
      <c r="K38" s="6">
        <f>I38+J38</f>
        <v>177331</v>
      </c>
      <c r="L38" s="6">
        <f>SUM([1]Copy!$M$212:$M$223)</f>
        <v>410075</v>
      </c>
      <c r="M38" s="4">
        <f t="shared" si="4"/>
        <v>14.731340765995432</v>
      </c>
      <c r="N38" s="3">
        <f t="shared" si="2"/>
        <v>14.369465530696351</v>
      </c>
      <c r="O38" s="3">
        <f t="shared" si="1"/>
        <v>2.6308742300963801</v>
      </c>
    </row>
    <row r="39" spans="1:15" x14ac:dyDescent="0.3">
      <c r="A39" s="6">
        <v>2018</v>
      </c>
      <c r="B39" s="6" t="s">
        <v>22</v>
      </c>
      <c r="C39" s="6" t="s">
        <v>23</v>
      </c>
      <c r="D39" s="6" t="s">
        <v>24</v>
      </c>
      <c r="E39" s="6" t="s">
        <v>25</v>
      </c>
      <c r="F39" s="6">
        <f>SUM([1]Copy!$G$341:$G$352)</f>
        <v>51338722</v>
      </c>
      <c r="G39" s="6">
        <f>SUM([1]Copy!$H$341:$H$352)</f>
        <v>18528272</v>
      </c>
      <c r="H39" s="6">
        <f t="shared" si="6"/>
        <v>69866994</v>
      </c>
      <c r="I39" s="6">
        <f>SUM([1]Copy!$J$341:$J$352)</f>
        <v>349768</v>
      </c>
      <c r="J39" s="6">
        <f>SUM([1]Copy!$K$341:$K$352)</f>
        <v>114219</v>
      </c>
      <c r="K39" s="6">
        <f>SUM(I39,J39)</f>
        <v>463987</v>
      </c>
      <c r="L39" s="6">
        <f>SUM([1]Copy!$M$341:$M$352)</f>
        <v>987430</v>
      </c>
      <c r="M39" s="4">
        <f t="shared" si="4"/>
        <v>-27.861734887067268</v>
      </c>
      <c r="N39" s="3">
        <f t="shared" si="2"/>
        <v>8.1181783440677808</v>
      </c>
      <c r="O39" s="3">
        <f t="shared" si="1"/>
        <v>6.3543558292781173</v>
      </c>
    </row>
    <row r="40" spans="1:15" x14ac:dyDescent="0.3">
      <c r="A40" s="6">
        <v>2018</v>
      </c>
      <c r="B40" s="6" t="s">
        <v>26</v>
      </c>
      <c r="C40" s="6" t="s">
        <v>27</v>
      </c>
      <c r="D40" s="7" t="s">
        <v>28</v>
      </c>
      <c r="E40" s="7" t="s">
        <v>18</v>
      </c>
      <c r="F40" s="6">
        <f>SUM([1]Copy!$G$470:$G$481)</f>
        <v>16942044</v>
      </c>
      <c r="G40" s="6">
        <f>SUM([1]Copy!$H$470:$H$481)</f>
        <v>3961886</v>
      </c>
      <c r="H40" s="6">
        <f t="shared" si="6"/>
        <v>20903930</v>
      </c>
      <c r="I40" s="6">
        <f>SUM([1]Copy!$J$470:$J$481)</f>
        <v>147936</v>
      </c>
      <c r="J40" s="6">
        <f>SUM([1]Copy!$K$470:$K$481)</f>
        <v>26432</v>
      </c>
      <c r="K40" s="6">
        <f>SUM(I40,J40)</f>
        <v>174368</v>
      </c>
      <c r="L40" s="6">
        <f>SUM([1]Copy!$M$470:$M$481)</f>
        <v>137422</v>
      </c>
      <c r="M40" s="4">
        <f t="shared" si="4"/>
        <v>21.902530249907439</v>
      </c>
      <c r="N40" s="3">
        <f t="shared" si="2"/>
        <v>15.738399145077892</v>
      </c>
      <c r="O40" s="3">
        <f t="shared" si="1"/>
        <v>7.8767230822369454</v>
      </c>
    </row>
    <row r="41" spans="1:15" x14ac:dyDescent="0.3">
      <c r="A41" s="6">
        <v>2018</v>
      </c>
      <c r="B41" s="6" t="s">
        <v>29</v>
      </c>
      <c r="C41" s="6" t="s">
        <v>30</v>
      </c>
      <c r="D41" s="7" t="s">
        <v>31</v>
      </c>
      <c r="E41" s="6" t="s">
        <v>32</v>
      </c>
      <c r="F41" s="6">
        <f>SUM([1]Copy!$G$599:$G$610)</f>
        <v>35618722</v>
      </c>
      <c r="G41" s="6">
        <f>SUM([1]Copy!$H$599:$H$610)</f>
        <v>13114047</v>
      </c>
      <c r="H41" s="6">
        <f t="shared" si="6"/>
        <v>48732769</v>
      </c>
      <c r="I41" s="6">
        <f>SUM([1]Copy!$J$599:$J$610)</f>
        <v>240196</v>
      </c>
      <c r="J41" s="6">
        <f>SUM([1]Copy!$K$599:$K$610)</f>
        <v>88621</v>
      </c>
      <c r="K41" s="6">
        <f>SUM(I41,J41)</f>
        <v>328817</v>
      </c>
      <c r="L41" s="6">
        <f>SUM([1]Copy!$M$599:$M$610)</f>
        <v>942160</v>
      </c>
      <c r="M41" s="4">
        <f t="shared" si="4"/>
        <v>3.2380764625497034</v>
      </c>
      <c r="N41" s="3">
        <f t="shared" si="2"/>
        <v>3.7939002140165026</v>
      </c>
      <c r="O41" s="3">
        <f t="shared" si="1"/>
        <v>8.731804652977095</v>
      </c>
    </row>
    <row r="42" spans="1:15" x14ac:dyDescent="0.3">
      <c r="A42" s="6">
        <v>2017</v>
      </c>
      <c r="B42" s="6" t="s">
        <v>15</v>
      </c>
      <c r="C42" s="6" t="s">
        <v>16</v>
      </c>
      <c r="D42" s="7" t="s">
        <v>17</v>
      </c>
      <c r="E42" s="7" t="s">
        <v>18</v>
      </c>
      <c r="F42" s="6">
        <f>SUM([1]Copy!$G$95:$G$106)</f>
        <v>21314148</v>
      </c>
      <c r="G42" s="6">
        <f>SUM([1]Copy!$H$95:$H$106)</f>
        <v>3733124</v>
      </c>
      <c r="H42" s="6">
        <f t="shared" si="6"/>
        <v>25047272</v>
      </c>
      <c r="I42" s="6">
        <f>SUM([1]Copy!$J$95:$J$106)</f>
        <v>167831</v>
      </c>
      <c r="J42" s="6">
        <f>SUM([1]Copy!$K$95:$K$106)</f>
        <v>30246</v>
      </c>
      <c r="K42" s="6">
        <f>I42+J42</f>
        <v>198077</v>
      </c>
      <c r="L42" s="6">
        <f>SUM([1]Copy!$M$95:$M$106)</f>
        <v>330444</v>
      </c>
      <c r="M42" s="4">
        <f t="shared" si="4"/>
        <v>12.887378271729999</v>
      </c>
      <c r="N42" s="3">
        <f t="shared" si="2"/>
        <v>12.052248093589482</v>
      </c>
      <c r="O42" s="3">
        <f t="shared" si="1"/>
        <v>18.614292842092418</v>
      </c>
    </row>
    <row r="43" spans="1:15" x14ac:dyDescent="0.3">
      <c r="A43" s="6">
        <v>2017</v>
      </c>
      <c r="B43" s="6" t="s">
        <v>19</v>
      </c>
      <c r="C43" s="6" t="s">
        <v>20</v>
      </c>
      <c r="D43" s="6" t="s">
        <v>21</v>
      </c>
      <c r="E43" s="6" t="s">
        <v>18</v>
      </c>
      <c r="F43" s="6">
        <f>SUM([1]Copy!$G$224:$G$235)</f>
        <v>14239760</v>
      </c>
      <c r="G43" s="6">
        <f>SUM([1]Copy!$H$224:$H$235)</f>
        <v>5359678</v>
      </c>
      <c r="H43" s="6">
        <f t="shared" si="6"/>
        <v>19599438</v>
      </c>
      <c r="I43" s="6">
        <f>SUM([1]Copy!$J$224:$J$235)</f>
        <v>117782</v>
      </c>
      <c r="J43" s="6">
        <f>SUM([1]Copy!$K$224:$K$235)</f>
        <v>37269</v>
      </c>
      <c r="K43" s="6">
        <f>I43+J43</f>
        <v>155051</v>
      </c>
      <c r="L43" s="6">
        <f>SUM([1]Copy!$M$224:$M$235)</f>
        <v>399563</v>
      </c>
      <c r="M43" s="4">
        <f t="shared" si="4"/>
        <v>13.466950674096958</v>
      </c>
      <c r="N43" s="3">
        <f t="shared" si="2"/>
        <v>7.6750532989812426</v>
      </c>
      <c r="O43" s="3">
        <f t="shared" si="1"/>
        <v>17.330455593240245</v>
      </c>
    </row>
    <row r="44" spans="1:15" x14ac:dyDescent="0.3">
      <c r="A44" s="6">
        <v>2017</v>
      </c>
      <c r="B44" s="6" t="s">
        <v>22</v>
      </c>
      <c r="C44" s="6" t="s">
        <v>23</v>
      </c>
      <c r="D44" s="6" t="s">
        <v>24</v>
      </c>
      <c r="E44" s="6" t="s">
        <v>25</v>
      </c>
      <c r="F44" s="6">
        <f>SUM([1]Copy!$G$353:$G$364)</f>
        <v>79945364</v>
      </c>
      <c r="G44" s="6">
        <f>SUM([1]Copy!$H$353:$H$364)</f>
        <v>16906139</v>
      </c>
      <c r="H44" s="6">
        <f t="shared" si="6"/>
        <v>96851503</v>
      </c>
      <c r="I44" s="6">
        <f>SUM([1]Copy!$J$353:$J$364)</f>
        <v>326950</v>
      </c>
      <c r="J44" s="6">
        <f>SUM([1]Copy!$K$353:$K$364)</f>
        <v>102198</v>
      </c>
      <c r="K44" s="6">
        <f>I44+J44</f>
        <v>429148</v>
      </c>
      <c r="L44" s="6">
        <f>SUM([1]Copy!$M$353:$M$364)</f>
        <v>928434</v>
      </c>
      <c r="M44" s="4">
        <f t="shared" si="4"/>
        <v>80.553695621393814</v>
      </c>
      <c r="N44" s="3">
        <f t="shared" si="2"/>
        <v>10.133962942052046</v>
      </c>
      <c r="O44" s="3">
        <f t="shared" si="1"/>
        <v>14.486076960829045</v>
      </c>
    </row>
    <row r="45" spans="1:15" x14ac:dyDescent="0.3">
      <c r="A45" s="6">
        <v>2017</v>
      </c>
      <c r="B45" s="6" t="s">
        <v>26</v>
      </c>
      <c r="C45" s="6" t="s">
        <v>27</v>
      </c>
      <c r="D45" s="7" t="s">
        <v>28</v>
      </c>
      <c r="E45" s="7" t="s">
        <v>18</v>
      </c>
      <c r="F45" s="6">
        <f>SUM([1]Copy!$G$482:$G$493)</f>
        <v>13590386</v>
      </c>
      <c r="G45" s="6">
        <f>SUM([1]Copy!$H$482:$H$493)</f>
        <v>3557683</v>
      </c>
      <c r="H45" s="6">
        <f t="shared" si="6"/>
        <v>17148069</v>
      </c>
      <c r="I45" s="6">
        <f>SUM([1]Copy!$J$482:$J$493)</f>
        <v>124204</v>
      </c>
      <c r="J45" s="6">
        <f>SUM([1]Copy!$K$481:$K$493)</f>
        <v>26453</v>
      </c>
      <c r="K45" s="6">
        <f>I45+J45</f>
        <v>150657</v>
      </c>
      <c r="L45" s="6">
        <f>SUM([1]Copy!$M$482:$M$493)</f>
        <v>127388</v>
      </c>
      <c r="M45" s="4">
        <f t="shared" si="4"/>
        <v>19.605808795804244</v>
      </c>
      <c r="N45" s="3">
        <f t="shared" si="2"/>
        <v>19.807712188566111</v>
      </c>
      <c r="O45" s="3">
        <f t="shared" si="1"/>
        <v>11.751701873815707</v>
      </c>
    </row>
    <row r="46" spans="1:15" x14ac:dyDescent="0.3">
      <c r="A46" s="6">
        <v>2017</v>
      </c>
      <c r="B46" s="6" t="s">
        <v>29</v>
      </c>
      <c r="C46" s="6" t="s">
        <v>30</v>
      </c>
      <c r="D46" s="7" t="s">
        <v>31</v>
      </c>
      <c r="E46" s="6" t="s">
        <v>32</v>
      </c>
      <c r="F46" s="6">
        <f>SUM([1]Copy!$G$611:$G$622)</f>
        <v>33871011</v>
      </c>
      <c r="G46" s="6">
        <f>SUM([1]Copy!$H$611:$H$622)</f>
        <v>13333248</v>
      </c>
      <c r="H46" s="6">
        <f>SUM([1]Copy!$I$611:$I$622)</f>
        <v>47204259</v>
      </c>
      <c r="I46" s="6">
        <f>SUM([1]Copy!$J$611:$J$622)</f>
        <v>231734</v>
      </c>
      <c r="J46" s="6">
        <f>SUM([1]Copy!$K$611:$K$622)</f>
        <v>85064</v>
      </c>
      <c r="K46" s="6">
        <f>SUM([1]Copy!$L$611:$L$622)</f>
        <v>316798</v>
      </c>
      <c r="L46" s="6">
        <f>SUM([1]Copy!$M$611:$M$622)</f>
        <v>866499</v>
      </c>
      <c r="M46" s="4">
        <f t="shared" si="4"/>
        <v>5.6483273316546763</v>
      </c>
      <c r="N46" s="3">
        <f t="shared" si="2"/>
        <v>3.0197195556596164</v>
      </c>
      <c r="O46" s="3">
        <f t="shared" si="1"/>
        <v>19.17371876070192</v>
      </c>
    </row>
    <row r="47" spans="1:15" x14ac:dyDescent="0.3">
      <c r="A47" s="6">
        <v>2016</v>
      </c>
      <c r="B47" s="6" t="s">
        <v>15</v>
      </c>
      <c r="C47" s="6" t="s">
        <v>16</v>
      </c>
      <c r="D47" s="7" t="s">
        <v>17</v>
      </c>
      <c r="E47" s="7" t="s">
        <v>18</v>
      </c>
      <c r="F47" s="6">
        <f>SUM([1]Copy!$G$107:$G$118)</f>
        <v>18621827</v>
      </c>
      <c r="G47" s="6">
        <f>SUM([1]Copy!$H$107:$H$118)</f>
        <v>3566014</v>
      </c>
      <c r="H47" s="6">
        <f>F47+G47</f>
        <v>22187841</v>
      </c>
      <c r="I47" s="6">
        <f>SUM([1]Copy!$J$107:$J$118)</f>
        <v>152742</v>
      </c>
      <c r="J47" s="6">
        <f>SUM([1]Copy!$K$107:$K$118)</f>
        <v>24030</v>
      </c>
      <c r="K47" s="6">
        <f>I47+J47</f>
        <v>176772</v>
      </c>
      <c r="L47" s="6">
        <f>SUM([1]Copy!$M$107:$M$117)</f>
        <v>278587</v>
      </c>
      <c r="M47" s="4">
        <f t="shared" si="4"/>
        <v>22.509653750385951</v>
      </c>
      <c r="N47" s="3">
        <f t="shared" si="2"/>
        <v>20.471056469529898</v>
      </c>
      <c r="O47" s="3">
        <f t="shared" si="1"/>
        <v>-3.0084114362109542</v>
      </c>
    </row>
    <row r="48" spans="1:15" x14ac:dyDescent="0.3">
      <c r="A48" s="6">
        <v>2016</v>
      </c>
      <c r="B48" s="6" t="s">
        <v>19</v>
      </c>
      <c r="C48" s="6" t="s">
        <v>20</v>
      </c>
      <c r="D48" s="6" t="s">
        <v>21</v>
      </c>
      <c r="E48" s="6" t="s">
        <v>18</v>
      </c>
      <c r="F48" s="6">
        <f>SUM([1]Copy!$G$236:$G$247)</f>
        <v>12529146</v>
      </c>
      <c r="G48" s="6">
        <f>SUM([1]Copy!$H$236:$H$246)</f>
        <v>4744111</v>
      </c>
      <c r="H48" s="6">
        <f>F48+G48</f>
        <v>17273257</v>
      </c>
      <c r="I48" s="6">
        <f>SUM([1]Copy!$J$236:$J$247)</f>
        <v>107086</v>
      </c>
      <c r="J48" s="6">
        <f>SUM([1]Copy!$K$236:$K$247)</f>
        <v>36913</v>
      </c>
      <c r="K48" s="6">
        <f>SUM(I48,J48)</f>
        <v>143999</v>
      </c>
      <c r="L48" s="6">
        <f>SUM([1]Copy!$M$236:$M$247)</f>
        <v>340545</v>
      </c>
      <c r="M48" s="4">
        <f t="shared" si="4"/>
        <v>16.851725937159152</v>
      </c>
      <c r="N48" s="3">
        <f t="shared" si="2"/>
        <v>19.229145104533224</v>
      </c>
      <c r="O48" s="3">
        <f t="shared" si="1"/>
        <v>10.551124356015231</v>
      </c>
    </row>
    <row r="49" spans="1:15" x14ac:dyDescent="0.3">
      <c r="A49" s="6">
        <v>2016</v>
      </c>
      <c r="B49" s="6" t="s">
        <v>22</v>
      </c>
      <c r="C49" s="6" t="s">
        <v>23</v>
      </c>
      <c r="D49" s="6" t="s">
        <v>24</v>
      </c>
      <c r="E49" s="6" t="s">
        <v>25</v>
      </c>
      <c r="F49" s="6">
        <f>SUM([1]Copy!$G$365:$G$376)</f>
        <v>38519193</v>
      </c>
      <c r="G49" s="6">
        <f>SUM([1]Copy!$H$365:$H$376)</f>
        <v>15122192</v>
      </c>
      <c r="H49" s="6">
        <f>F49+G49</f>
        <v>53641385</v>
      </c>
      <c r="I49" s="6">
        <f>SUM([1]Copy!$J$365:$J$376)</f>
        <v>291272</v>
      </c>
      <c r="J49" s="6">
        <f>SUM([1]Copy!$K$365:$K$376)</f>
        <v>98388</v>
      </c>
      <c r="K49" s="6">
        <f>I49+J49</f>
        <v>389660</v>
      </c>
      <c r="L49" s="6">
        <f>SUM([1]Copy!$M$365:$M$376)</f>
        <v>810958</v>
      </c>
      <c r="M49" s="4">
        <f t="shared" si="4"/>
        <v>16.657930958860589</v>
      </c>
      <c r="N49" s="3">
        <f t="shared" si="2"/>
        <v>18.858209592601181</v>
      </c>
      <c r="O49" s="3">
        <f t="shared" si="1"/>
        <v>6.6513936416169761</v>
      </c>
    </row>
    <row r="50" spans="1:15" x14ac:dyDescent="0.3">
      <c r="A50" s="6">
        <v>2016</v>
      </c>
      <c r="B50" s="6" t="s">
        <v>26</v>
      </c>
      <c r="C50" s="6" t="s">
        <v>27</v>
      </c>
      <c r="D50" s="7" t="s">
        <v>28</v>
      </c>
      <c r="E50" s="7" t="s">
        <v>18</v>
      </c>
      <c r="F50" s="6">
        <f>SUM([1]Copy!$G$494:$G$505)</f>
        <v>11008664</v>
      </c>
      <c r="G50" s="6">
        <f>SUM([1]Copy!$H$494:$H$505)</f>
        <v>3328490</v>
      </c>
      <c r="H50" s="6">
        <f>SUM(F50,G50)</f>
        <v>14337154</v>
      </c>
      <c r="I50" s="6">
        <f>SUM([1]Copy!$J$494:$J$505)</f>
        <v>103535</v>
      </c>
      <c r="J50" s="6">
        <f>SUM([1]Copy!$K$494:$K$505)</f>
        <v>22214</v>
      </c>
      <c r="K50" s="6">
        <f>I50+J50</f>
        <v>125749</v>
      </c>
      <c r="L50" s="6">
        <f>SUM([1]Copy!$M$494:$M$505)</f>
        <v>113992</v>
      </c>
      <c r="M50" s="4">
        <f t="shared" si="4"/>
        <v>20.409102685933149</v>
      </c>
      <c r="N50" s="3">
        <f t="shared" si="2"/>
        <v>25.23553430933174</v>
      </c>
      <c r="O50" s="3">
        <f t="shared" si="1"/>
        <v>5.6273686746541385</v>
      </c>
    </row>
    <row r="51" spans="1:15" x14ac:dyDescent="0.3">
      <c r="A51" s="6">
        <v>2016</v>
      </c>
      <c r="B51" s="6" t="s">
        <v>29</v>
      </c>
      <c r="C51" s="6" t="s">
        <v>30</v>
      </c>
      <c r="D51" s="7" t="s">
        <v>31</v>
      </c>
      <c r="E51" s="6" t="s">
        <v>32</v>
      </c>
      <c r="F51" s="6">
        <f>SUM([1]Copy!$G$623:$G$634)</f>
        <v>32456137</v>
      </c>
      <c r="G51" s="6">
        <f>SUM([1]Copy!$H$623:$H$634)</f>
        <v>12224418</v>
      </c>
      <c r="H51" s="6">
        <f>F51+G51</f>
        <v>44680555</v>
      </c>
      <c r="I51" s="6">
        <f>SUM([1]Copy!$J$623:$J$634)</f>
        <v>227572</v>
      </c>
      <c r="J51" s="6">
        <f>SUM([1]Copy!$K$623:$K$634)</f>
        <v>79940</v>
      </c>
      <c r="K51" s="6">
        <f>J51+I51</f>
        <v>307512</v>
      </c>
      <c r="L51" s="6">
        <f>SUM([1]Copy!$M$623:$M$634)</f>
        <v>727089</v>
      </c>
      <c r="M51" s="4">
        <f t="shared" si="4"/>
        <v>-7.7560393082391723</v>
      </c>
      <c r="N51" s="3">
        <f t="shared" si="2"/>
        <v>6.3455559667039001</v>
      </c>
      <c r="O51" s="3">
        <f t="shared" si="1"/>
        <v>4.1008122305629486</v>
      </c>
    </row>
    <row r="52" spans="1:15" x14ac:dyDescent="0.3">
      <c r="A52" s="6">
        <v>2015</v>
      </c>
      <c r="B52" s="6" t="s">
        <v>15</v>
      </c>
      <c r="C52" s="6" t="s">
        <v>16</v>
      </c>
      <c r="D52" s="7" t="s">
        <v>17</v>
      </c>
      <c r="E52" s="7" t="s">
        <v>18</v>
      </c>
      <c r="F52" s="6">
        <f>SUM([1]Copy!$G$119:$G$130)</f>
        <v>14839412</v>
      </c>
      <c r="G52" s="6">
        <f>SUM([1]Copy!$H$119:$H$130)</f>
        <v>3271684</v>
      </c>
      <c r="H52" s="6">
        <f>F52+G52</f>
        <v>18111096</v>
      </c>
      <c r="I52" s="6">
        <f>SUM([1]Copy!$J$119:$J$130)</f>
        <v>124748</v>
      </c>
      <c r="J52" s="6">
        <f>SUM([1]Copy!$K$119:$K$130)</f>
        <v>21986</v>
      </c>
      <c r="K52" s="6">
        <f>I52+J52</f>
        <v>146734</v>
      </c>
      <c r="L52" s="6">
        <f>SUM([1]Copy!$M$119:$M$130)</f>
        <v>287228</v>
      </c>
      <c r="M52" s="4">
        <f>IFERROR((H2-H3)/H3,"")</f>
        <v>0.86393592238462635</v>
      </c>
      <c r="N52" s="3">
        <f>IFERROR((K2-K3)/K3,"")</f>
        <v>0.6956603742640185</v>
      </c>
      <c r="O52" s="3">
        <f>IFERROR((L2-L3)/L3,"")</f>
        <v>0.11418426833347735</v>
      </c>
    </row>
    <row r="53" spans="1:15" x14ac:dyDescent="0.3">
      <c r="A53" s="6">
        <v>2015</v>
      </c>
      <c r="B53" s="6" t="s">
        <v>19</v>
      </c>
      <c r="C53" s="6" t="s">
        <v>20</v>
      </c>
      <c r="D53" s="6" t="s">
        <v>21</v>
      </c>
      <c r="E53" s="6" t="s">
        <v>18</v>
      </c>
      <c r="F53" s="6">
        <f>SUM([1]Copy!$G$248:$G$259)</f>
        <v>9971392</v>
      </c>
      <c r="G53" s="6">
        <f>SUM([1]Copy!$H$248:$H$259)</f>
        <v>4810809</v>
      </c>
      <c r="H53" s="6">
        <f>F53+G53</f>
        <v>14782201</v>
      </c>
      <c r="I53" s="6">
        <f>SUM([1]Copy!$J$248:$J$259)</f>
        <v>86188</v>
      </c>
      <c r="J53" s="6">
        <f>SUM([1]Copy!$K$248:$K$259)</f>
        <v>34587</v>
      </c>
      <c r="K53" s="6">
        <f>I53+J53</f>
        <v>120775</v>
      </c>
      <c r="L53" s="6">
        <f>SUM([1]Copy!$M$248:$M$259)</f>
        <v>308043</v>
      </c>
      <c r="M53" s="4">
        <f t="shared" ref="M53:M56" si="7">IFERROR((H3-H4)/H4,"")</f>
        <v>-0.69734660541108429</v>
      </c>
      <c r="N53" s="3">
        <f t="shared" ref="N53:N56" si="8">IFERROR((K3-K4)/K4,"")</f>
        <v>-0.64482747573126586</v>
      </c>
      <c r="O53" s="3">
        <f t="shared" ref="O53:O56" si="9">IFERROR((L3-L4)/L4,"")</f>
        <v>-0.6116956941030095</v>
      </c>
    </row>
    <row r="54" spans="1:15" x14ac:dyDescent="0.3">
      <c r="A54" s="6">
        <v>2015</v>
      </c>
      <c r="B54" s="6" t="s">
        <v>22</v>
      </c>
      <c r="C54" s="6" t="s">
        <v>23</v>
      </c>
      <c r="D54" s="6" t="s">
        <v>24</v>
      </c>
      <c r="E54" s="6" t="s">
        <v>25</v>
      </c>
      <c r="F54" s="6">
        <f>SUM([1]Copy!$G$377:$G$388)</f>
        <v>32094954</v>
      </c>
      <c r="G54" s="6">
        <f>SUM([1]Copy!$H$377:$H$388)</f>
        <v>13886819</v>
      </c>
      <c r="H54" s="6">
        <f>G54+F54</f>
        <v>45981773</v>
      </c>
      <c r="I54" s="6">
        <f>SUM([1]Copy!$J$377:$J$388)</f>
        <v>240777</v>
      </c>
      <c r="J54" s="6">
        <f>SUM([1]Copy!$K$377:$K$388)</f>
        <v>87059</v>
      </c>
      <c r="K54" s="6">
        <f>I54+J54</f>
        <v>327836</v>
      </c>
      <c r="L54" s="6">
        <f>SUM([1]Copy!$M$377:$M$388)</f>
        <v>760382</v>
      </c>
      <c r="M54" s="4">
        <f t="shared" si="7"/>
        <v>1.4751281096855366</v>
      </c>
      <c r="N54" s="3">
        <f t="shared" si="8"/>
        <v>1.1410896800304318</v>
      </c>
      <c r="O54" s="3">
        <f t="shared" si="9"/>
        <v>5.3031405866218355</v>
      </c>
    </row>
    <row r="55" spans="1:15" x14ac:dyDescent="0.3">
      <c r="A55" s="6">
        <v>2015</v>
      </c>
      <c r="B55" s="6" t="s">
        <v>26</v>
      </c>
      <c r="C55" s="6" t="s">
        <v>27</v>
      </c>
      <c r="D55" s="7" t="s">
        <v>28</v>
      </c>
      <c r="E55" s="7" t="s">
        <v>18</v>
      </c>
      <c r="F55" s="6">
        <f>SUM([1]Copy!$G$506:$G$517)</f>
        <v>8780389</v>
      </c>
      <c r="G55" s="6">
        <f>SUM([1]Copy!$H$506:$H$517)</f>
        <v>3126646</v>
      </c>
      <c r="H55" s="6">
        <f>F55+G55</f>
        <v>11907035</v>
      </c>
      <c r="I55" s="6">
        <f>SUM([1]Copy!$J$506:$J$517)</f>
        <v>80124</v>
      </c>
      <c r="J55" s="6">
        <f>SUM([1]Copy!$K$506:$K$517)</f>
        <v>20286</v>
      </c>
      <c r="K55" s="6">
        <f>I55+J55</f>
        <v>100410</v>
      </c>
      <c r="L55" s="6">
        <f>SUM([1]Copy!$M$506:$M$517)</f>
        <v>107919</v>
      </c>
      <c r="M55" s="4">
        <f t="shared" si="7"/>
        <v>-0.43720920259503471</v>
      </c>
      <c r="N55" s="3">
        <f t="shared" si="8"/>
        <v>-0.34907877592274628</v>
      </c>
      <c r="O55" s="3">
        <f t="shared" si="9"/>
        <v>-0.81208958467247139</v>
      </c>
    </row>
    <row r="56" spans="1:15" x14ac:dyDescent="0.3">
      <c r="A56" s="6">
        <v>2015</v>
      </c>
      <c r="B56" s="6" t="s">
        <v>29</v>
      </c>
      <c r="C56" s="6" t="s">
        <v>30</v>
      </c>
      <c r="D56" s="7" t="s">
        <v>31</v>
      </c>
      <c r="E56" s="6" t="s">
        <v>32</v>
      </c>
      <c r="F56" s="6">
        <f>SUM([1]Copy!$G$635:$G$646)</f>
        <v>28992655</v>
      </c>
      <c r="G56" s="6">
        <f>SUM([1]Copy!$H$635:$H$646)</f>
        <v>19444722</v>
      </c>
      <c r="H56" s="6">
        <f>SUM(F56,G56)</f>
        <v>48437377</v>
      </c>
      <c r="I56" s="6">
        <f>SUM([1]Copy!$J$635:$J$646)</f>
        <v>213353</v>
      </c>
      <c r="J56" s="6">
        <f>SUM([1]Copy!$K$635:$K$646)</f>
        <v>75810</v>
      </c>
      <c r="K56" s="6">
        <f>SUM([1]Copy!$L$635:$L$646)</f>
        <v>289163</v>
      </c>
      <c r="L56" s="6">
        <f>SUM([1]Copy!$M$635:$M$646)</f>
        <v>698447</v>
      </c>
      <c r="M56" s="4">
        <f t="shared" si="7"/>
        <v>1.0022313796433107E-2</v>
      </c>
      <c r="N56" s="3">
        <f t="shared" si="8"/>
        <v>-2.7843875412863588E-2</v>
      </c>
      <c r="O56" s="3">
        <f t="shared" si="9"/>
        <v>1.5931550472943379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yadav</dc:creator>
  <cp:lastModifiedBy>pooja yadav</cp:lastModifiedBy>
  <dcterms:created xsi:type="dcterms:W3CDTF">2025-11-16T02:42:37Z</dcterms:created>
  <dcterms:modified xsi:type="dcterms:W3CDTF">2025-12-18T11:38:16Z</dcterms:modified>
</cp:coreProperties>
</file>